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lk 20 İstasyon" sheetId="1" state="visible" r:id="rId1"/>
    <sheet name="İlk 20 - Yıl Bazında" sheetId="2" state="visible" r:id="rId2"/>
    <sheet name="Tüm İstasyonlar (Birleşik)" sheetId="3" state="visible" r:id="rId3"/>
    <sheet name="Yöntem ve Notlar" sheetId="4" state="visible" r:id="rId4"/>
  </sheets>
  <definedNames>
    <definedName name="_xlnm.Print_Titles" localSheetId="0">'İlk 20 İstasyon'!$5:$5,'İlk 20 İstasyon'!$A:$B</definedName>
    <definedName name="_xlnm.Print_Area" localSheetId="0">'İlk 20 İstasyon'!$A$1:$I$27</definedName>
    <definedName name="_xlnm._FilterDatabase" localSheetId="2" hidden="1">'Tüm İstasyonlar (Birleşik)'!$A$5:$AG$356</definedName>
  </definedNames>
  <calcPr calcId="124519" fullCalcOnLoad="1"/>
</workbook>
</file>

<file path=xl/styles.xml><?xml version="1.0" encoding="utf-8"?>
<styleSheet xmlns="http://schemas.openxmlformats.org/spreadsheetml/2006/main">
  <numFmts count="2">
    <numFmt numFmtId="164" formatCode="#,##0.00;-#,##0.00;-"/>
    <numFmt numFmtId="165" formatCode="0.0%;-0.0%;-"/>
  </numFmts>
  <fonts count="11">
    <font>
      <name val="Calibri"/>
      <family val="2"/>
      <color theme="1"/>
      <sz val="11"/>
      <scheme val="minor"/>
    </font>
    <font>
      <name val="Arial"/>
      <b val="1"/>
      <color rgb="00000000"/>
      <sz val="12"/>
    </font>
    <font>
      <name val="Arial"/>
      <color rgb="00595959"/>
      <sz val="8"/>
    </font>
    <font>
      <name val="Arial"/>
      <color rgb="00000000"/>
      <sz val="9"/>
    </font>
    <font>
      <name val="Arial"/>
      <b val="1"/>
      <color rgb="00FFFFFF"/>
      <sz val="9"/>
    </font>
    <font>
      <name val="Arial"/>
      <b val="1"/>
      <color rgb="00000000"/>
      <sz val="9"/>
    </font>
    <font>
      <name val="Arial"/>
      <b val="1"/>
      <color rgb="001F3864"/>
      <sz val="14"/>
    </font>
    <font>
      <name val="Arial"/>
      <color rgb="00595959"/>
      <sz val="9"/>
    </font>
    <font>
      <name val="Arial"/>
      <color rgb="00808080"/>
      <sz val="8"/>
    </font>
    <font>
      <name val="Arial"/>
      <b val="1"/>
      <color rgb="001F3864"/>
      <sz val="12"/>
    </font>
    <font>
      <name val="Arial"/>
      <b val="1"/>
      <color rgb="001F3864"/>
      <sz val="13"/>
    </font>
  </fonts>
  <fills count="7">
    <fill>
      <patternFill/>
    </fill>
    <fill>
      <patternFill patternType="gray125"/>
    </fill>
    <fill>
      <patternFill patternType="solid">
        <fgColor rgb="001F3864"/>
      </patternFill>
    </fill>
    <fill>
      <patternFill patternType="solid">
        <fgColor rgb="002E5496"/>
      </patternFill>
    </fill>
    <fill>
      <patternFill patternType="solid">
        <fgColor rgb="00E2EFDA"/>
      </patternFill>
    </fill>
    <fill>
      <patternFill patternType="solid">
        <fgColor rgb="00F2F5FA"/>
      </patternFill>
    </fill>
    <fill>
      <patternFill patternType="solid">
        <fgColor rgb="00FFF2CC"/>
      </patternFill>
    </fill>
  </fills>
  <borders count="6">
    <border>
      <left/>
      <right/>
      <top/>
      <bottom/>
      <diagonal/>
    </border>
    <border>
      <left style="thin">
        <color rgb="00B4B4B4"/>
      </left>
      <right style="thin">
        <color rgb="00B4B4B4"/>
      </right>
      <top style="thin">
        <color rgb="00B4B4B4"/>
      </top>
      <bottom style="thin">
        <color rgb="00B4B4B4"/>
      </bottom>
    </border>
    <border/>
    <border>
      <left style="thin">
        <color rgb="00B4B4B4"/>
      </left>
      <right/>
      <top/>
      <bottom/>
      <diagonal/>
    </border>
    <border>
      <left style="thin">
        <color rgb="00B4B4B4"/>
      </left>
      <right style="thin">
        <color rgb="00B4B4B4"/>
      </right>
      <top/>
      <bottom/>
      <diagonal/>
    </border>
    <border>
      <left style="thin">
        <color rgb="00B4B4B4"/>
      </left>
      <right style="thin">
        <color rgb="00B4B4B4"/>
      </right>
      <top/>
      <bottom style="thin">
        <color rgb="00B4B4B4"/>
      </bottom>
      <diagonal/>
    </border>
  </borders>
  <cellStyleXfs count="1">
    <xf numFmtId="0" fontId="0" fillId="0" borderId="0"/>
  </cellStyleXfs>
  <cellXfs count="32">
    <xf numFmtId="0" fontId="0" fillId="0" borderId="0" pivotButton="0" quotePrefix="0" xfId="0"/>
    <xf numFmtId="0" fontId="6" fillId="0" borderId="2" pivotButton="0" quotePrefix="0" xfId="0"/>
    <xf numFmtId="0" fontId="7" fillId="0" borderId="2" pivotButton="0" quotePrefix="0" xfId="0"/>
    <xf numFmtId="0" fontId="8" fillId="0" borderId="2" pivotButton="0" quotePrefix="0" xfId="0"/>
    <xf numFmtId="0" fontId="4" fillId="2" borderId="1" applyAlignment="1" pivotButton="0" quotePrefix="0" xfId="0">
      <alignment horizontal="center" vertical="center" wrapText="1"/>
    </xf>
    <xf numFmtId="1" fontId="3" fillId="0" borderId="1" applyAlignment="1" pivotButton="0" quotePrefix="0" xfId="0">
      <alignment horizontal="center" vertical="center"/>
    </xf>
    <xf numFmtId="0" fontId="5" fillId="0" borderId="1" pivotButton="0" quotePrefix="0" xfId="0"/>
    <xf numFmtId="164" fontId="3" fillId="0" borderId="1" pivotButton="0" quotePrefix="0" xfId="0"/>
    <xf numFmtId="164" fontId="5" fillId="0" borderId="1" pivotButton="0" quotePrefix="0" xfId="0"/>
    <xf numFmtId="165" fontId="3" fillId="0" borderId="1" pivotButton="0" quotePrefix="0" xfId="0"/>
    <xf numFmtId="1" fontId="3" fillId="5" borderId="1" applyAlignment="1" pivotButton="0" quotePrefix="0" xfId="0">
      <alignment horizontal="center" vertical="center"/>
    </xf>
    <xf numFmtId="0" fontId="5" fillId="5" borderId="1" pivotButton="0" quotePrefix="0" xfId="0"/>
    <xf numFmtId="164" fontId="3" fillId="5" borderId="1" pivotButton="0" quotePrefix="0" xfId="0"/>
    <xf numFmtId="164" fontId="5" fillId="5" borderId="1" pivotButton="0" quotePrefix="0" xfId="0"/>
    <xf numFmtId="165" fontId="3" fillId="5" borderId="1" pivotButton="0" quotePrefix="0" xfId="0"/>
    <xf numFmtId="0" fontId="3" fillId="6" borderId="1" pivotButton="0" quotePrefix="0" xfId="0"/>
    <xf numFmtId="0" fontId="5" fillId="6" borderId="1" pivotButton="0" quotePrefix="0" xfId="0"/>
    <xf numFmtId="164" fontId="5" fillId="6" borderId="1" pivotButton="0" quotePrefix="0" xfId="0"/>
    <xf numFmtId="165" fontId="5" fillId="6" borderId="1" pivotButton="0" quotePrefix="0" xfId="0"/>
    <xf numFmtId="0" fontId="9" fillId="0" borderId="2" pivotButton="0" quotePrefix="0" xfId="0"/>
    <xf numFmtId="0" fontId="4" fillId="3" borderId="1" applyAlignment="1" pivotButton="0" quotePrefix="0" xfId="0">
      <alignment horizontal="center" vertical="center" wrapText="1"/>
    </xf>
    <xf numFmtId="0" fontId="1" fillId="0" borderId="2" pivotButton="0" quotePrefix="0" xfId="0"/>
    <xf numFmtId="0" fontId="2" fillId="0" borderId="2" pivotButton="0" quotePrefix="0" xfId="0"/>
    <xf numFmtId="1" fontId="3" fillId="4" borderId="1" applyAlignment="1" pivotButton="0" quotePrefix="0" xfId="0">
      <alignment horizontal="center" vertical="center"/>
    </xf>
    <xf numFmtId="0" fontId="5" fillId="4" borderId="1" pivotButton="0" quotePrefix="0" xfId="0"/>
    <xf numFmtId="164" fontId="3" fillId="4" borderId="1" pivotButton="0" quotePrefix="0" xfId="0"/>
    <xf numFmtId="164" fontId="5" fillId="4" borderId="1" pivotButton="0" quotePrefix="0" xfId="0"/>
    <xf numFmtId="0" fontId="3" fillId="0" borderId="1" pivotButton="0" quotePrefix="0" xfId="0"/>
    <xf numFmtId="0" fontId="3" fillId="5" borderId="1" pivotButton="0" quotePrefix="0" xfId="0"/>
    <xf numFmtId="0" fontId="10" fillId="0" borderId="2" pivotButton="0" quotePrefix="0" xfId="0"/>
    <xf numFmtId="0" fontId="5"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İlk 20 İstasyon — Toplam Yük (Netton, 2013-2026)</a:t>
            </a:r>
          </a:p>
        </rich>
      </tx>
    </title>
    <plotArea>
      <barChart>
        <barDir val="bar"/>
        <grouping val="clustered"/>
        <ser>
          <idx val="0"/>
          <order val="0"/>
          <tx>
            <strRef>
              <f>'İlk 20 İstasyon'!E5</f>
            </strRef>
          </tx>
          <spPr>
            <a:ln>
              <a:prstDash val="solid"/>
            </a:ln>
          </spPr>
          <cat>
            <numRef>
              <f>'İlk 20 İstasyon'!$B$6:$B$25</f>
            </numRef>
          </cat>
          <val>
            <numRef>
              <f>'İlk 20 İstasyon'!$E$6:$E$25</f>
            </numRef>
          </val>
        </ser>
        <gapWidth val="4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Netton (TON)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Analiz</author>
  </authors>
  <commentList>
    <comment ref="E5" authorId="0" shapeId="0">
      <text>
        <t>TOPLAM = Giden + Gelen (Netton, TON). Bir sevkiyat çıkış istasyonunda "Giden", varış istasyonunda "Gelen" olarak sayıldığından bu ölçü istasyonun toplam yük trafiğini gösterir; ülke geneli taşınan tonajı değil.</t>
      </text>
    </comment>
    <comment ref="F5" authorId="0" shapeId="0">
      <text>
        <t>Pay % = İstasyon Toplamı / Tüm istasyonların Genel Toplamı (Giden+Gelen bazında).</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4</row>
      <rowOff>0</rowOff>
    </from>
    <ext cx="79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I2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7" customWidth="1" min="3" max="3"/>
    <col width="17" customWidth="1" min="4" max="4"/>
    <col width="18" customWidth="1" min="5" max="5"/>
    <col width="9" customWidth="1" min="6" max="6"/>
    <col width="12" customWidth="1" min="7" max="7"/>
    <col width="18" customWidth="1" min="8" max="8"/>
    <col width="18" customWidth="1" min="9" max="9"/>
  </cols>
  <sheetData>
    <row r="1">
      <c r="A1" s="1" t="inlineStr">
        <is>
          <t>EN FAZLA YÜK GELİP GİDEN İLK 20 İSTASYON</t>
        </is>
      </c>
    </row>
    <row r="2">
      <c r="A2" s="2" t="inlineStr">
        <is>
          <t>İstasyon Bazlı Yük Taşımaları — 2013-2026 birleşik, Netton (TON), Giden + Gelen toplamına göre sıralı</t>
        </is>
      </c>
    </row>
    <row r="3">
      <c r="A3" s="3" t="inlineStr">
        <is>
          <t>Kaynak: 2 adet SAP ZANALYSIS_PATTERN çıktısı birleştirilmiştir (30aa1bf0-ZANALYSIS_PATTERN_NEW_3.xls → 2013-2016 ve fef7ddf6-ZANALYSIS_PATTERN__20260807T105517.750.xls → 2017-2026). 2026 yılı kısmi (yıl tamamlanmamıştır).</t>
        </is>
      </c>
    </row>
    <row r="5" ht="30" customHeight="1">
      <c r="A5" s="4" t="inlineStr">
        <is>
          <t>Sıra</t>
        </is>
      </c>
      <c r="B5" s="4" t="inlineStr">
        <is>
          <t>İstasyon</t>
        </is>
      </c>
      <c r="C5" s="4" t="inlineStr">
        <is>
          <t>Giden (Netton)</t>
        </is>
      </c>
      <c r="D5" s="4" t="inlineStr">
        <is>
          <t>Gelen (Netton)</t>
        </is>
      </c>
      <c r="E5" s="4" t="inlineStr">
        <is>
          <t>TOPLAM (Netton)</t>
        </is>
      </c>
      <c r="F5" s="4" t="inlineStr">
        <is>
          <t>Pay %</t>
        </is>
      </c>
      <c r="G5" s="4" t="inlineStr">
        <is>
          <t>Kümülatif %</t>
        </is>
      </c>
      <c r="H5" s="4" t="inlineStr">
        <is>
          <t>2013-2016 Toplam</t>
        </is>
      </c>
      <c r="I5" s="4" t="inlineStr">
        <is>
          <t>2017-2026 Toplam</t>
        </is>
      </c>
    </row>
    <row r="6">
      <c r="A6" s="5" t="n">
        <v>1</v>
      </c>
      <c r="B6" s="6" t="inlineStr">
        <is>
          <t>Ülkü</t>
        </is>
      </c>
      <c r="C6" s="7">
        <f>'Tüm İstasyonlar (Birleşik)'!AE6</f>
        <v/>
      </c>
      <c r="D6" s="7">
        <f>'Tüm İstasyonlar (Birleşik)'!AF6</f>
        <v/>
      </c>
      <c r="E6" s="8">
        <f>C6+D6</f>
        <v/>
      </c>
      <c r="F6" s="9">
        <f>IFERROR(E6/'Tüm İstasyonlar (Birleşik)'!$AG$357,0)</f>
        <v/>
      </c>
      <c r="G6" s="9">
        <f>IFERROR(SUM($E$6:E6)/'Tüm İstasyonlar (Birleşik)'!$AG$357,0)</f>
        <v/>
      </c>
      <c r="H6" s="7">
        <f>SUM('Tüm İstasyonlar (Birleşik)'!C6,'Tüm İstasyonlar (Birleşik)'!D6,'Tüm İstasyonlar (Birleşik)'!E6,'Tüm İstasyonlar (Birleşik)'!F6,'Tüm İstasyonlar (Birleşik)'!G6,'Tüm İstasyonlar (Birleşik)'!H6,'Tüm İstasyonlar (Birleşik)'!I6,'Tüm İstasyonlar (Birleşik)'!J6)</f>
        <v/>
      </c>
      <c r="I6" s="7">
        <f>SUM('Tüm İstasyonlar (Birleşik)'!K6,'Tüm İstasyonlar (Birleşik)'!L6,'Tüm İstasyonlar (Birleşik)'!M6,'Tüm İstasyonlar (Birleşik)'!N6,'Tüm İstasyonlar (Birleşik)'!O6,'Tüm İstasyonlar (Birleşik)'!P6,'Tüm İstasyonlar (Birleşik)'!Q6,'Tüm İstasyonlar (Birleşik)'!R6,'Tüm İstasyonlar (Birleşik)'!S6,'Tüm İstasyonlar (Birleşik)'!T6,'Tüm İstasyonlar (Birleşik)'!U6,'Tüm İstasyonlar (Birleşik)'!V6,'Tüm İstasyonlar (Birleşik)'!W6,'Tüm İstasyonlar (Birleşik)'!X6,'Tüm İstasyonlar (Birleşik)'!Y6,'Tüm İstasyonlar (Birleşik)'!Z6,'Tüm İstasyonlar (Birleşik)'!AA6,'Tüm İstasyonlar (Birleşik)'!AB6,'Tüm İstasyonlar (Birleşik)'!AC6,'Tüm İstasyonlar (Birleşik)'!AD6)</f>
        <v/>
      </c>
    </row>
    <row r="7">
      <c r="A7" s="10" t="n">
        <v>2</v>
      </c>
      <c r="B7" s="11" t="inlineStr">
        <is>
          <t>Payas</t>
        </is>
      </c>
      <c r="C7" s="12">
        <f>'Tüm İstasyonlar (Birleşik)'!AE7</f>
        <v/>
      </c>
      <c r="D7" s="12">
        <f>'Tüm İstasyonlar (Birleşik)'!AF7</f>
        <v/>
      </c>
      <c r="E7" s="13">
        <f>C7+D7</f>
        <v/>
      </c>
      <c r="F7" s="14">
        <f>IFERROR(E7/'Tüm İstasyonlar (Birleşik)'!$AG$357,0)</f>
        <v/>
      </c>
      <c r="G7" s="14">
        <f>IFERROR(SUM($E$6:E7)/'Tüm İstasyonlar (Birleşik)'!$AG$357,0)</f>
        <v/>
      </c>
      <c r="H7" s="12">
        <f>SUM('Tüm İstasyonlar (Birleşik)'!C7,'Tüm İstasyonlar (Birleşik)'!D7,'Tüm İstasyonlar (Birleşik)'!E7,'Tüm İstasyonlar (Birleşik)'!F7,'Tüm İstasyonlar (Birleşik)'!G7,'Tüm İstasyonlar (Birleşik)'!H7,'Tüm İstasyonlar (Birleşik)'!I7,'Tüm İstasyonlar (Birleşik)'!J7)</f>
        <v/>
      </c>
      <c r="I7" s="12">
        <f>SUM('Tüm İstasyonlar (Birleşik)'!K7,'Tüm İstasyonlar (Birleşik)'!L7,'Tüm İstasyonlar (Birleşik)'!M7,'Tüm İstasyonlar (Birleşik)'!N7,'Tüm İstasyonlar (Birleşik)'!O7,'Tüm İstasyonlar (Birleşik)'!P7,'Tüm İstasyonlar (Birleşik)'!Q7,'Tüm İstasyonlar (Birleşik)'!R7,'Tüm İstasyonlar (Birleşik)'!S7,'Tüm İstasyonlar (Birleşik)'!T7,'Tüm İstasyonlar (Birleşik)'!U7,'Tüm İstasyonlar (Birleşik)'!V7,'Tüm İstasyonlar (Birleşik)'!W7,'Tüm İstasyonlar (Birleşik)'!X7,'Tüm İstasyonlar (Birleşik)'!Y7,'Tüm İstasyonlar (Birleşik)'!Z7,'Tüm İstasyonlar (Birleşik)'!AA7,'Tüm İstasyonlar (Birleşik)'!AB7,'Tüm İstasyonlar (Birleşik)'!AC7,'Tüm İstasyonlar (Birleşik)'!AD7)</f>
        <v/>
      </c>
    </row>
    <row r="8">
      <c r="A8" s="5" t="n">
        <v>3</v>
      </c>
      <c r="B8" s="6" t="inlineStr">
        <is>
          <t>Çatalağzı</t>
        </is>
      </c>
      <c r="C8" s="7">
        <f>'Tüm İstasyonlar (Birleşik)'!AE8</f>
        <v/>
      </c>
      <c r="D8" s="7">
        <f>'Tüm İstasyonlar (Birleşik)'!AF8</f>
        <v/>
      </c>
      <c r="E8" s="8">
        <f>C8+D8</f>
        <v/>
      </c>
      <c r="F8" s="9">
        <f>IFERROR(E8/'Tüm İstasyonlar (Birleşik)'!$AG$357,0)</f>
        <v/>
      </c>
      <c r="G8" s="9">
        <f>IFERROR(SUM($E$6:E8)/'Tüm İstasyonlar (Birleşik)'!$AG$357,0)</f>
        <v/>
      </c>
      <c r="H8" s="7">
        <f>SUM('Tüm İstasyonlar (Birleşik)'!C8,'Tüm İstasyonlar (Birleşik)'!D8,'Tüm İstasyonlar (Birleşik)'!E8,'Tüm İstasyonlar (Birleşik)'!F8,'Tüm İstasyonlar (Birleşik)'!G8,'Tüm İstasyonlar (Birleşik)'!H8,'Tüm İstasyonlar (Birleşik)'!I8,'Tüm İstasyonlar (Birleşik)'!J8)</f>
        <v/>
      </c>
      <c r="I8" s="7">
        <f>SUM('Tüm İstasyonlar (Birleşik)'!K8,'Tüm İstasyonlar (Birleşik)'!L8,'Tüm İstasyonlar (Birleşik)'!M8,'Tüm İstasyonlar (Birleşik)'!N8,'Tüm İstasyonlar (Birleşik)'!O8,'Tüm İstasyonlar (Birleşik)'!P8,'Tüm İstasyonlar (Birleşik)'!Q8,'Tüm İstasyonlar (Birleşik)'!R8,'Tüm İstasyonlar (Birleşik)'!S8,'Tüm İstasyonlar (Birleşik)'!T8,'Tüm İstasyonlar (Birleşik)'!U8,'Tüm İstasyonlar (Birleşik)'!V8,'Tüm İstasyonlar (Birleşik)'!W8,'Tüm İstasyonlar (Birleşik)'!X8,'Tüm İstasyonlar (Birleşik)'!Y8,'Tüm İstasyonlar (Birleşik)'!Z8,'Tüm İstasyonlar (Birleşik)'!AA8,'Tüm İstasyonlar (Birleşik)'!AB8,'Tüm İstasyonlar (Birleşik)'!AC8,'Tüm İstasyonlar (Birleşik)'!AD8)</f>
        <v/>
      </c>
    </row>
    <row r="9">
      <c r="A9" s="10" t="n">
        <v>4</v>
      </c>
      <c r="B9" s="11" t="inlineStr">
        <is>
          <t>Hekimhan</t>
        </is>
      </c>
      <c r="C9" s="12">
        <f>'Tüm İstasyonlar (Birleşik)'!AE9</f>
        <v/>
      </c>
      <c r="D9" s="12">
        <f>'Tüm İstasyonlar (Birleşik)'!AF9</f>
        <v/>
      </c>
      <c r="E9" s="13">
        <f>C9+D9</f>
        <v/>
      </c>
      <c r="F9" s="14">
        <f>IFERROR(E9/'Tüm İstasyonlar (Birleşik)'!$AG$357,0)</f>
        <v/>
      </c>
      <c r="G9" s="14">
        <f>IFERROR(SUM($E$6:E9)/'Tüm İstasyonlar (Birleşik)'!$AG$357,0)</f>
        <v/>
      </c>
      <c r="H9" s="12">
        <f>SUM('Tüm İstasyonlar (Birleşik)'!C9,'Tüm İstasyonlar (Birleşik)'!D9,'Tüm İstasyonlar (Birleşik)'!E9,'Tüm İstasyonlar (Birleşik)'!F9,'Tüm İstasyonlar (Birleşik)'!G9,'Tüm İstasyonlar (Birleşik)'!H9,'Tüm İstasyonlar (Birleşik)'!I9,'Tüm İstasyonlar (Birleşik)'!J9)</f>
        <v/>
      </c>
      <c r="I9" s="12">
        <f>SUM('Tüm İstasyonlar (Birleşik)'!K9,'Tüm İstasyonlar (Birleşik)'!L9,'Tüm İstasyonlar (Birleşik)'!M9,'Tüm İstasyonlar (Birleşik)'!N9,'Tüm İstasyonlar (Birleşik)'!O9,'Tüm İstasyonlar (Birleşik)'!P9,'Tüm İstasyonlar (Birleşik)'!Q9,'Tüm İstasyonlar (Birleşik)'!R9,'Tüm İstasyonlar (Birleşik)'!S9,'Tüm İstasyonlar (Birleşik)'!T9,'Tüm İstasyonlar (Birleşik)'!U9,'Tüm İstasyonlar (Birleşik)'!V9,'Tüm İstasyonlar (Birleşik)'!W9,'Tüm İstasyonlar (Birleşik)'!X9,'Tüm İstasyonlar (Birleşik)'!Y9,'Tüm İstasyonlar (Birleşik)'!Z9,'Tüm İstasyonlar (Birleşik)'!AA9,'Tüm İstasyonlar (Birleşik)'!AB9,'Tüm İstasyonlar (Birleşik)'!AC9,'Tüm İstasyonlar (Birleşik)'!AD9)</f>
        <v/>
      </c>
    </row>
    <row r="10">
      <c r="A10" s="5" t="n">
        <v>5</v>
      </c>
      <c r="B10" s="6" t="inlineStr">
        <is>
          <t>Yenice</t>
        </is>
      </c>
      <c r="C10" s="7">
        <f>'Tüm İstasyonlar (Birleşik)'!AE10</f>
        <v/>
      </c>
      <c r="D10" s="7">
        <f>'Tüm İstasyonlar (Birleşik)'!AF10</f>
        <v/>
      </c>
      <c r="E10" s="8">
        <f>C10+D10</f>
        <v/>
      </c>
      <c r="F10" s="9">
        <f>IFERROR(E10/'Tüm İstasyonlar (Birleşik)'!$AG$357,0)</f>
        <v/>
      </c>
      <c r="G10" s="9">
        <f>IFERROR(SUM($E$6:E10)/'Tüm İstasyonlar (Birleşik)'!$AG$357,0)</f>
        <v/>
      </c>
      <c r="H10" s="7">
        <f>SUM('Tüm İstasyonlar (Birleşik)'!C10,'Tüm İstasyonlar (Birleşik)'!D10,'Tüm İstasyonlar (Birleşik)'!E10,'Tüm İstasyonlar (Birleşik)'!F10,'Tüm İstasyonlar (Birleşik)'!G10,'Tüm İstasyonlar (Birleşik)'!H10,'Tüm İstasyonlar (Birleşik)'!I10,'Tüm İstasyonlar (Birleşik)'!J10)</f>
        <v/>
      </c>
      <c r="I10" s="7">
        <f>SUM('Tüm İstasyonlar (Birleşik)'!K10,'Tüm İstasyonlar (Birleşik)'!L10,'Tüm İstasyonlar (Birleşik)'!M10,'Tüm İstasyonlar (Birleşik)'!N10,'Tüm İstasyonlar (Birleşik)'!O10,'Tüm İstasyonlar (Birleşik)'!P10,'Tüm İstasyonlar (Birleşik)'!Q10,'Tüm İstasyonlar (Birleşik)'!R10,'Tüm İstasyonlar (Birleşik)'!S10,'Tüm İstasyonlar (Birleşik)'!T10,'Tüm İstasyonlar (Birleşik)'!U10,'Tüm İstasyonlar (Birleşik)'!V10,'Tüm İstasyonlar (Birleşik)'!W10,'Tüm İstasyonlar (Birleşik)'!X10,'Tüm İstasyonlar (Birleşik)'!Y10,'Tüm İstasyonlar (Birleşik)'!Z10,'Tüm İstasyonlar (Birleşik)'!AA10,'Tüm İstasyonlar (Birleşik)'!AB10,'Tüm İstasyonlar (Birleşik)'!AC10,'Tüm İstasyonlar (Birleşik)'!AD10)</f>
        <v/>
      </c>
    </row>
    <row r="11">
      <c r="A11" s="10" t="n">
        <v>6</v>
      </c>
      <c r="B11" s="11" t="inlineStr">
        <is>
          <t>Yahşihan</t>
        </is>
      </c>
      <c r="C11" s="12">
        <f>'Tüm İstasyonlar (Birleşik)'!AE11</f>
        <v/>
      </c>
      <c r="D11" s="12">
        <f>'Tüm İstasyonlar (Birleşik)'!AF11</f>
        <v/>
      </c>
      <c r="E11" s="13">
        <f>C11+D11</f>
        <v/>
      </c>
      <c r="F11" s="14">
        <f>IFERROR(E11/'Tüm İstasyonlar (Birleşik)'!$AG$357,0)</f>
        <v/>
      </c>
      <c r="G11" s="14">
        <f>IFERROR(SUM($E$6:E11)/'Tüm İstasyonlar (Birleşik)'!$AG$357,0)</f>
        <v/>
      </c>
      <c r="H11" s="12">
        <f>SUM('Tüm İstasyonlar (Birleşik)'!C11,'Tüm İstasyonlar (Birleşik)'!D11,'Tüm İstasyonlar (Birleşik)'!E11,'Tüm İstasyonlar (Birleşik)'!F11,'Tüm İstasyonlar (Birleşik)'!G11,'Tüm İstasyonlar (Birleşik)'!H11,'Tüm İstasyonlar (Birleşik)'!I11,'Tüm İstasyonlar (Birleşik)'!J11)</f>
        <v/>
      </c>
      <c r="I11" s="12">
        <f>SUM('Tüm İstasyonlar (Birleşik)'!K11,'Tüm İstasyonlar (Birleşik)'!L11,'Tüm İstasyonlar (Birleşik)'!M11,'Tüm İstasyonlar (Birleşik)'!N11,'Tüm İstasyonlar (Birleşik)'!O11,'Tüm İstasyonlar (Birleşik)'!P11,'Tüm İstasyonlar (Birleşik)'!Q11,'Tüm İstasyonlar (Birleşik)'!R11,'Tüm İstasyonlar (Birleşik)'!S11,'Tüm İstasyonlar (Birleşik)'!T11,'Tüm İstasyonlar (Birleşik)'!U11,'Tüm İstasyonlar (Birleşik)'!V11,'Tüm İstasyonlar (Birleşik)'!W11,'Tüm İstasyonlar (Birleşik)'!X11,'Tüm İstasyonlar (Birleşik)'!Y11,'Tüm İstasyonlar (Birleşik)'!Z11,'Tüm İstasyonlar (Birleşik)'!AA11,'Tüm İstasyonlar (Birleşik)'!AB11,'Tüm İstasyonlar (Birleşik)'!AC11,'Tüm İstasyonlar (Birleşik)'!AD11)</f>
        <v/>
      </c>
    </row>
    <row r="12">
      <c r="A12" s="5" t="n">
        <v>7</v>
      </c>
      <c r="B12" s="6" t="inlineStr">
        <is>
          <t>Biçerova</t>
        </is>
      </c>
      <c r="C12" s="7">
        <f>'Tüm İstasyonlar (Birleşik)'!AE12</f>
        <v/>
      </c>
      <c r="D12" s="7">
        <f>'Tüm İstasyonlar (Birleşik)'!AF12</f>
        <v/>
      </c>
      <c r="E12" s="8">
        <f>C12+D12</f>
        <v/>
      </c>
      <c r="F12" s="9">
        <f>IFERROR(E12/'Tüm İstasyonlar (Birleşik)'!$AG$357,0)</f>
        <v/>
      </c>
      <c r="G12" s="9">
        <f>IFERROR(SUM($E$6:E12)/'Tüm İstasyonlar (Birleşik)'!$AG$357,0)</f>
        <v/>
      </c>
      <c r="H12" s="7">
        <f>SUM('Tüm İstasyonlar (Birleşik)'!C12,'Tüm İstasyonlar (Birleşik)'!D12,'Tüm İstasyonlar (Birleşik)'!E12,'Tüm İstasyonlar (Birleşik)'!F12,'Tüm İstasyonlar (Birleşik)'!G12,'Tüm İstasyonlar (Birleşik)'!H12,'Tüm İstasyonlar (Birleşik)'!I12,'Tüm İstasyonlar (Birleşik)'!J12)</f>
        <v/>
      </c>
      <c r="I12" s="7">
        <f>SUM('Tüm İstasyonlar (Birleşik)'!K12,'Tüm İstasyonlar (Birleşik)'!L12,'Tüm İstasyonlar (Birleşik)'!M12,'Tüm İstasyonlar (Birleşik)'!N12,'Tüm İstasyonlar (Birleşik)'!O12,'Tüm İstasyonlar (Birleşik)'!P12,'Tüm İstasyonlar (Birleşik)'!Q12,'Tüm İstasyonlar (Birleşik)'!R12,'Tüm İstasyonlar (Birleşik)'!S12,'Tüm İstasyonlar (Birleşik)'!T12,'Tüm İstasyonlar (Birleşik)'!U12,'Tüm İstasyonlar (Birleşik)'!V12,'Tüm İstasyonlar (Birleşik)'!W12,'Tüm İstasyonlar (Birleşik)'!X12,'Tüm İstasyonlar (Birleşik)'!Y12,'Tüm İstasyonlar (Birleşik)'!Z12,'Tüm İstasyonlar (Birleşik)'!AA12,'Tüm İstasyonlar (Birleşik)'!AB12,'Tüm İstasyonlar (Birleşik)'!AC12,'Tüm İstasyonlar (Birleşik)'!AD12)</f>
        <v/>
      </c>
    </row>
    <row r="13">
      <c r="A13" s="10" t="n">
        <v>8</v>
      </c>
      <c r="B13" s="11" t="inlineStr">
        <is>
          <t>Zonguldak</t>
        </is>
      </c>
      <c r="C13" s="12">
        <f>'Tüm İstasyonlar (Birleşik)'!AE13</f>
        <v/>
      </c>
      <c r="D13" s="12">
        <f>'Tüm İstasyonlar (Birleşik)'!AF13</f>
        <v/>
      </c>
      <c r="E13" s="13">
        <f>C13+D13</f>
        <v/>
      </c>
      <c r="F13" s="14">
        <f>IFERROR(E13/'Tüm İstasyonlar (Birleşik)'!$AG$357,0)</f>
        <v/>
      </c>
      <c r="G13" s="14">
        <f>IFERROR(SUM($E$6:E13)/'Tüm İstasyonlar (Birleşik)'!$AG$357,0)</f>
        <v/>
      </c>
      <c r="H13" s="12">
        <f>SUM('Tüm İstasyonlar (Birleşik)'!C13,'Tüm İstasyonlar (Birleşik)'!D13,'Tüm İstasyonlar (Birleşik)'!E13,'Tüm İstasyonlar (Birleşik)'!F13,'Tüm İstasyonlar (Birleşik)'!G13,'Tüm İstasyonlar (Birleşik)'!H13,'Tüm İstasyonlar (Birleşik)'!I13,'Tüm İstasyonlar (Birleşik)'!J13)</f>
        <v/>
      </c>
      <c r="I13" s="12">
        <f>SUM('Tüm İstasyonlar (Birleşik)'!K13,'Tüm İstasyonlar (Birleşik)'!L13,'Tüm İstasyonlar (Birleşik)'!M13,'Tüm İstasyonlar (Birleşik)'!N13,'Tüm İstasyonlar (Birleşik)'!O13,'Tüm İstasyonlar (Birleşik)'!P13,'Tüm İstasyonlar (Birleşik)'!Q13,'Tüm İstasyonlar (Birleşik)'!R13,'Tüm İstasyonlar (Birleşik)'!S13,'Tüm İstasyonlar (Birleşik)'!T13,'Tüm İstasyonlar (Birleşik)'!U13,'Tüm İstasyonlar (Birleşik)'!V13,'Tüm İstasyonlar (Birleşik)'!W13,'Tüm İstasyonlar (Birleşik)'!X13,'Tüm İstasyonlar (Birleşik)'!Y13,'Tüm İstasyonlar (Birleşik)'!Z13,'Tüm İstasyonlar (Birleşik)'!AA13,'Tüm İstasyonlar (Birleşik)'!AB13,'Tüm İstasyonlar (Birleşik)'!AC13,'Tüm İstasyonlar (Birleşik)'!AD13)</f>
        <v/>
      </c>
    </row>
    <row r="14">
      <c r="A14" s="5" t="n">
        <v>9</v>
      </c>
      <c r="B14" s="6" t="inlineStr">
        <is>
          <t>Yeşilhisar</t>
        </is>
      </c>
      <c r="C14" s="7">
        <f>'Tüm İstasyonlar (Birleşik)'!AE14</f>
        <v/>
      </c>
      <c r="D14" s="7">
        <f>'Tüm İstasyonlar (Birleşik)'!AF14</f>
        <v/>
      </c>
      <c r="E14" s="8">
        <f>C14+D14</f>
        <v/>
      </c>
      <c r="F14" s="9">
        <f>IFERROR(E14/'Tüm İstasyonlar (Birleşik)'!$AG$357,0)</f>
        <v/>
      </c>
      <c r="G14" s="9">
        <f>IFERROR(SUM($E$6:E14)/'Tüm İstasyonlar (Birleşik)'!$AG$357,0)</f>
        <v/>
      </c>
      <c r="H14" s="7">
        <f>SUM('Tüm İstasyonlar (Birleşik)'!C14,'Tüm İstasyonlar (Birleşik)'!D14,'Tüm İstasyonlar (Birleşik)'!E14,'Tüm İstasyonlar (Birleşik)'!F14,'Tüm İstasyonlar (Birleşik)'!G14,'Tüm İstasyonlar (Birleşik)'!H14,'Tüm İstasyonlar (Birleşik)'!I14,'Tüm İstasyonlar (Birleşik)'!J14)</f>
        <v/>
      </c>
      <c r="I14" s="7">
        <f>SUM('Tüm İstasyonlar (Birleşik)'!K14,'Tüm İstasyonlar (Birleşik)'!L14,'Tüm İstasyonlar (Birleşik)'!M14,'Tüm İstasyonlar (Birleşik)'!N14,'Tüm İstasyonlar (Birleşik)'!O14,'Tüm İstasyonlar (Birleşik)'!P14,'Tüm İstasyonlar (Birleşik)'!Q14,'Tüm İstasyonlar (Birleşik)'!R14,'Tüm İstasyonlar (Birleşik)'!S14,'Tüm İstasyonlar (Birleşik)'!T14,'Tüm İstasyonlar (Birleşik)'!U14,'Tüm İstasyonlar (Birleşik)'!V14,'Tüm İstasyonlar (Birleşik)'!W14,'Tüm İstasyonlar (Birleşik)'!X14,'Tüm İstasyonlar (Birleşik)'!Y14,'Tüm İstasyonlar (Birleşik)'!Z14,'Tüm İstasyonlar (Birleşik)'!AA14,'Tüm İstasyonlar (Birleşik)'!AB14,'Tüm İstasyonlar (Birleşik)'!AC14,'Tüm İstasyonlar (Birleşik)'!AD14)</f>
        <v/>
      </c>
    </row>
    <row r="15">
      <c r="A15" s="10" t="n">
        <v>10</v>
      </c>
      <c r="B15" s="11" t="inlineStr">
        <is>
          <t>Boğazköprü</t>
        </is>
      </c>
      <c r="C15" s="12">
        <f>'Tüm İstasyonlar (Birleşik)'!AE15</f>
        <v/>
      </c>
      <c r="D15" s="12">
        <f>'Tüm İstasyonlar (Birleşik)'!AF15</f>
        <v/>
      </c>
      <c r="E15" s="13">
        <f>C15+D15</f>
        <v/>
      </c>
      <c r="F15" s="14">
        <f>IFERROR(E15/'Tüm İstasyonlar (Birleşik)'!$AG$357,0)</f>
        <v/>
      </c>
      <c r="G15" s="14">
        <f>IFERROR(SUM($E$6:E15)/'Tüm İstasyonlar (Birleşik)'!$AG$357,0)</f>
        <v/>
      </c>
      <c r="H15" s="12">
        <f>SUM('Tüm İstasyonlar (Birleşik)'!C15,'Tüm İstasyonlar (Birleşik)'!D15,'Tüm İstasyonlar (Birleşik)'!E15,'Tüm İstasyonlar (Birleşik)'!F15,'Tüm İstasyonlar (Birleşik)'!G15,'Tüm İstasyonlar (Birleşik)'!H15,'Tüm İstasyonlar (Birleşik)'!I15,'Tüm İstasyonlar (Birleşik)'!J15)</f>
        <v/>
      </c>
      <c r="I15" s="12">
        <f>SUM('Tüm İstasyonlar (Birleşik)'!K15,'Tüm İstasyonlar (Birleşik)'!L15,'Tüm İstasyonlar (Birleşik)'!M15,'Tüm İstasyonlar (Birleşik)'!N15,'Tüm İstasyonlar (Birleşik)'!O15,'Tüm İstasyonlar (Birleşik)'!P15,'Tüm İstasyonlar (Birleşik)'!Q15,'Tüm İstasyonlar (Birleşik)'!R15,'Tüm İstasyonlar (Birleşik)'!S15,'Tüm İstasyonlar (Birleşik)'!T15,'Tüm İstasyonlar (Birleşik)'!U15,'Tüm İstasyonlar (Birleşik)'!V15,'Tüm İstasyonlar (Birleşik)'!W15,'Tüm İstasyonlar (Birleşik)'!X15,'Tüm İstasyonlar (Birleşik)'!Y15,'Tüm İstasyonlar (Birleşik)'!Z15,'Tüm İstasyonlar (Birleşik)'!AA15,'Tüm İstasyonlar (Birleşik)'!AB15,'Tüm İstasyonlar (Birleşik)'!AC15,'Tüm İstasyonlar (Birleşik)'!AD15)</f>
        <v/>
      </c>
    </row>
    <row r="16">
      <c r="A16" s="5" t="n">
        <v>11</v>
      </c>
      <c r="B16" s="6" t="inlineStr">
        <is>
          <t>Demirdağ</t>
        </is>
      </c>
      <c r="C16" s="7">
        <f>'Tüm İstasyonlar (Birleşik)'!AE16</f>
        <v/>
      </c>
      <c r="D16" s="7">
        <f>'Tüm İstasyonlar (Birleşik)'!AF16</f>
        <v/>
      </c>
      <c r="E16" s="8">
        <f>C16+D16</f>
        <v/>
      </c>
      <c r="F16" s="9">
        <f>IFERROR(E16/'Tüm İstasyonlar (Birleşik)'!$AG$357,0)</f>
        <v/>
      </c>
      <c r="G16" s="9">
        <f>IFERROR(SUM($E$6:E16)/'Tüm İstasyonlar (Birleşik)'!$AG$357,0)</f>
        <v/>
      </c>
      <c r="H16" s="7">
        <f>SUM('Tüm İstasyonlar (Birleşik)'!C16,'Tüm İstasyonlar (Birleşik)'!D16,'Tüm İstasyonlar (Birleşik)'!E16,'Tüm İstasyonlar (Birleşik)'!F16,'Tüm İstasyonlar (Birleşik)'!G16,'Tüm İstasyonlar (Birleşik)'!H16,'Tüm İstasyonlar (Birleşik)'!I16,'Tüm İstasyonlar (Birleşik)'!J16)</f>
        <v/>
      </c>
      <c r="I16" s="7">
        <f>SUM('Tüm İstasyonlar (Birleşik)'!K16,'Tüm İstasyonlar (Birleşik)'!L16,'Tüm İstasyonlar (Birleşik)'!M16,'Tüm İstasyonlar (Birleşik)'!N16,'Tüm İstasyonlar (Birleşik)'!O16,'Tüm İstasyonlar (Birleşik)'!P16,'Tüm İstasyonlar (Birleşik)'!Q16,'Tüm İstasyonlar (Birleşik)'!R16,'Tüm İstasyonlar (Birleşik)'!S16,'Tüm İstasyonlar (Birleşik)'!T16,'Tüm İstasyonlar (Birleşik)'!U16,'Tüm İstasyonlar (Birleşik)'!V16,'Tüm İstasyonlar (Birleşik)'!W16,'Tüm İstasyonlar (Birleşik)'!X16,'Tüm İstasyonlar (Birleşik)'!Y16,'Tüm İstasyonlar (Birleşik)'!Z16,'Tüm İstasyonlar (Birleşik)'!AA16,'Tüm İstasyonlar (Birleşik)'!AB16,'Tüm İstasyonlar (Birleşik)'!AC16,'Tüm İstasyonlar (Birleşik)'!AD16)</f>
        <v/>
      </c>
    </row>
    <row r="17">
      <c r="A17" s="10" t="n">
        <v>12</v>
      </c>
      <c r="B17" s="11" t="inlineStr">
        <is>
          <t>Alsancak</t>
        </is>
      </c>
      <c r="C17" s="12">
        <f>'Tüm İstasyonlar (Birleşik)'!AE17</f>
        <v/>
      </c>
      <c r="D17" s="12">
        <f>'Tüm İstasyonlar (Birleşik)'!AF17</f>
        <v/>
      </c>
      <c r="E17" s="13">
        <f>C17+D17</f>
        <v/>
      </c>
      <c r="F17" s="14">
        <f>IFERROR(E17/'Tüm İstasyonlar (Birleşik)'!$AG$357,0)</f>
        <v/>
      </c>
      <c r="G17" s="14">
        <f>IFERROR(SUM($E$6:E17)/'Tüm İstasyonlar (Birleşik)'!$AG$357,0)</f>
        <v/>
      </c>
      <c r="H17" s="12">
        <f>SUM('Tüm İstasyonlar (Birleşik)'!C17,'Tüm İstasyonlar (Birleşik)'!D17,'Tüm İstasyonlar (Birleşik)'!E17,'Tüm İstasyonlar (Birleşik)'!F17,'Tüm İstasyonlar (Birleşik)'!G17,'Tüm İstasyonlar (Birleşik)'!H17,'Tüm İstasyonlar (Birleşik)'!I17,'Tüm İstasyonlar (Birleşik)'!J17)</f>
        <v/>
      </c>
      <c r="I17" s="12">
        <f>SUM('Tüm İstasyonlar (Birleşik)'!K17,'Tüm İstasyonlar (Birleşik)'!L17,'Tüm İstasyonlar (Birleşik)'!M17,'Tüm İstasyonlar (Birleşik)'!N17,'Tüm İstasyonlar (Birleşik)'!O17,'Tüm İstasyonlar (Birleşik)'!P17,'Tüm İstasyonlar (Birleşik)'!Q17,'Tüm İstasyonlar (Birleşik)'!R17,'Tüm İstasyonlar (Birleşik)'!S17,'Tüm İstasyonlar (Birleşik)'!T17,'Tüm İstasyonlar (Birleşik)'!U17,'Tüm İstasyonlar (Birleşik)'!V17,'Tüm İstasyonlar (Birleşik)'!W17,'Tüm İstasyonlar (Birleşik)'!X17,'Tüm İstasyonlar (Birleşik)'!Y17,'Tüm İstasyonlar (Birleşik)'!Z17,'Tüm İstasyonlar (Birleşik)'!AA17,'Tüm İstasyonlar (Birleşik)'!AB17,'Tüm İstasyonlar (Birleşik)'!AC17,'Tüm İstasyonlar (Birleşik)'!AD17)</f>
        <v/>
      </c>
    </row>
    <row r="18">
      <c r="A18" s="5" t="n">
        <v>13</v>
      </c>
      <c r="B18" s="6" t="inlineStr">
        <is>
          <t>Yeni Suveren</t>
        </is>
      </c>
      <c r="C18" s="7">
        <f>'Tüm İstasyonlar (Birleşik)'!AE18</f>
        <v/>
      </c>
      <c r="D18" s="7">
        <f>'Tüm İstasyonlar (Birleşik)'!AF18</f>
        <v/>
      </c>
      <c r="E18" s="8">
        <f>C18+D18</f>
        <v/>
      </c>
      <c r="F18" s="9">
        <f>IFERROR(E18/'Tüm İstasyonlar (Birleşik)'!$AG$357,0)</f>
        <v/>
      </c>
      <c r="G18" s="9">
        <f>IFERROR(SUM($E$6:E18)/'Tüm İstasyonlar (Birleşik)'!$AG$357,0)</f>
        <v/>
      </c>
      <c r="H18" s="7">
        <f>SUM('Tüm İstasyonlar (Birleşik)'!C18,'Tüm İstasyonlar (Birleşik)'!D18,'Tüm İstasyonlar (Birleşik)'!E18,'Tüm İstasyonlar (Birleşik)'!F18,'Tüm İstasyonlar (Birleşik)'!G18,'Tüm İstasyonlar (Birleşik)'!H18,'Tüm İstasyonlar (Birleşik)'!I18,'Tüm İstasyonlar (Birleşik)'!J18)</f>
        <v/>
      </c>
      <c r="I18" s="7">
        <f>SUM('Tüm İstasyonlar (Birleşik)'!K18,'Tüm İstasyonlar (Birleşik)'!L18,'Tüm İstasyonlar (Birleşik)'!M18,'Tüm İstasyonlar (Birleşik)'!N18,'Tüm İstasyonlar (Birleşik)'!O18,'Tüm İstasyonlar (Birleşik)'!P18,'Tüm İstasyonlar (Birleşik)'!Q18,'Tüm İstasyonlar (Birleşik)'!R18,'Tüm İstasyonlar (Birleşik)'!S18,'Tüm İstasyonlar (Birleşik)'!T18,'Tüm İstasyonlar (Birleşik)'!U18,'Tüm İstasyonlar (Birleşik)'!V18,'Tüm İstasyonlar (Birleşik)'!W18,'Tüm İstasyonlar (Birleşik)'!X18,'Tüm İstasyonlar (Birleşik)'!Y18,'Tüm İstasyonlar (Birleşik)'!Z18,'Tüm İstasyonlar (Birleşik)'!AA18,'Tüm İstasyonlar (Birleşik)'!AB18,'Tüm İstasyonlar (Birleşik)'!AC18,'Tüm İstasyonlar (Birleşik)'!AD18)</f>
        <v/>
      </c>
    </row>
    <row r="19">
      <c r="A19" s="10" t="n">
        <v>14</v>
      </c>
      <c r="B19" s="11" t="inlineStr">
        <is>
          <t>Değirmenözü</t>
        </is>
      </c>
      <c r="C19" s="12">
        <f>'Tüm İstasyonlar (Birleşik)'!AE19</f>
        <v/>
      </c>
      <c r="D19" s="12">
        <f>'Tüm İstasyonlar (Birleşik)'!AF19</f>
        <v/>
      </c>
      <c r="E19" s="13">
        <f>C19+D19</f>
        <v/>
      </c>
      <c r="F19" s="14">
        <f>IFERROR(E19/'Tüm İstasyonlar (Birleşik)'!$AG$357,0)</f>
        <v/>
      </c>
      <c r="G19" s="14">
        <f>IFERROR(SUM($E$6:E19)/'Tüm İstasyonlar (Birleşik)'!$AG$357,0)</f>
        <v/>
      </c>
      <c r="H19" s="12">
        <f>SUM('Tüm İstasyonlar (Birleşik)'!C19,'Tüm İstasyonlar (Birleşik)'!D19,'Tüm İstasyonlar (Birleşik)'!E19,'Tüm İstasyonlar (Birleşik)'!F19,'Tüm İstasyonlar (Birleşik)'!G19,'Tüm İstasyonlar (Birleşik)'!H19,'Tüm İstasyonlar (Birleşik)'!I19,'Tüm İstasyonlar (Birleşik)'!J19)</f>
        <v/>
      </c>
      <c r="I19" s="12">
        <f>SUM('Tüm İstasyonlar (Birleşik)'!K19,'Tüm İstasyonlar (Birleşik)'!L19,'Tüm İstasyonlar (Birleşik)'!M19,'Tüm İstasyonlar (Birleşik)'!N19,'Tüm İstasyonlar (Birleşik)'!O19,'Tüm İstasyonlar (Birleşik)'!P19,'Tüm İstasyonlar (Birleşik)'!Q19,'Tüm İstasyonlar (Birleşik)'!R19,'Tüm İstasyonlar (Birleşik)'!S19,'Tüm İstasyonlar (Birleşik)'!T19,'Tüm İstasyonlar (Birleşik)'!U19,'Tüm İstasyonlar (Birleşik)'!V19,'Tüm İstasyonlar (Birleşik)'!W19,'Tüm İstasyonlar (Birleşik)'!X19,'Tüm İstasyonlar (Birleşik)'!Y19,'Tüm İstasyonlar (Birleşik)'!Z19,'Tüm İstasyonlar (Birleşik)'!AA19,'Tüm İstasyonlar (Birleşik)'!AB19,'Tüm İstasyonlar (Birleşik)'!AC19,'Tüm İstasyonlar (Birleşik)'!AD19)</f>
        <v/>
      </c>
    </row>
    <row r="20">
      <c r="A20" s="5" t="n">
        <v>15</v>
      </c>
      <c r="B20" s="6" t="inlineStr">
        <is>
          <t>Mersin</t>
        </is>
      </c>
      <c r="C20" s="7">
        <f>'Tüm İstasyonlar (Birleşik)'!AE20</f>
        <v/>
      </c>
      <c r="D20" s="7">
        <f>'Tüm İstasyonlar (Birleşik)'!AF20</f>
        <v/>
      </c>
      <c r="E20" s="8">
        <f>C20+D20</f>
        <v/>
      </c>
      <c r="F20" s="9">
        <f>IFERROR(E20/'Tüm İstasyonlar (Birleşik)'!$AG$357,0)</f>
        <v/>
      </c>
      <c r="G20" s="9">
        <f>IFERROR(SUM($E$6:E20)/'Tüm İstasyonlar (Birleşik)'!$AG$357,0)</f>
        <v/>
      </c>
      <c r="H20" s="7">
        <f>SUM('Tüm İstasyonlar (Birleşik)'!C20,'Tüm İstasyonlar (Birleşik)'!D20,'Tüm İstasyonlar (Birleşik)'!E20,'Tüm İstasyonlar (Birleşik)'!F20,'Tüm İstasyonlar (Birleşik)'!G20,'Tüm İstasyonlar (Birleşik)'!H20,'Tüm İstasyonlar (Birleşik)'!I20,'Tüm İstasyonlar (Birleşik)'!J20)</f>
        <v/>
      </c>
      <c r="I20" s="7">
        <f>SUM('Tüm İstasyonlar (Birleşik)'!K20,'Tüm İstasyonlar (Birleşik)'!L20,'Tüm İstasyonlar (Birleşik)'!M20,'Tüm İstasyonlar (Birleşik)'!N20,'Tüm İstasyonlar (Birleşik)'!O20,'Tüm İstasyonlar (Birleşik)'!P20,'Tüm İstasyonlar (Birleşik)'!Q20,'Tüm İstasyonlar (Birleşik)'!R20,'Tüm İstasyonlar (Birleşik)'!S20,'Tüm İstasyonlar (Birleşik)'!T20,'Tüm İstasyonlar (Birleşik)'!U20,'Tüm İstasyonlar (Birleşik)'!V20,'Tüm İstasyonlar (Birleşik)'!W20,'Tüm İstasyonlar (Birleşik)'!X20,'Tüm İstasyonlar (Birleşik)'!Y20,'Tüm İstasyonlar (Birleşik)'!Z20,'Tüm İstasyonlar (Birleşik)'!AA20,'Tüm İstasyonlar (Birleşik)'!AB20,'Tüm İstasyonlar (Birleşik)'!AC20,'Tüm İstasyonlar (Birleşik)'!AD20)</f>
        <v/>
      </c>
    </row>
    <row r="21">
      <c r="A21" s="10" t="n">
        <v>16</v>
      </c>
      <c r="B21" s="11" t="inlineStr">
        <is>
          <t>Marşandiz</t>
        </is>
      </c>
      <c r="C21" s="12">
        <f>'Tüm İstasyonlar (Birleşik)'!AE21</f>
        <v/>
      </c>
      <c r="D21" s="12">
        <f>'Tüm İstasyonlar (Birleşik)'!AF21</f>
        <v/>
      </c>
      <c r="E21" s="13">
        <f>C21+D21</f>
        <v/>
      </c>
      <c r="F21" s="14">
        <f>IFERROR(E21/'Tüm İstasyonlar (Birleşik)'!$AG$357,0)</f>
        <v/>
      </c>
      <c r="G21" s="14">
        <f>IFERROR(SUM($E$6:E21)/'Tüm İstasyonlar (Birleşik)'!$AG$357,0)</f>
        <v/>
      </c>
      <c r="H21" s="12">
        <f>SUM('Tüm İstasyonlar (Birleşik)'!C21,'Tüm İstasyonlar (Birleşik)'!D21,'Tüm İstasyonlar (Birleşik)'!E21,'Tüm İstasyonlar (Birleşik)'!F21,'Tüm İstasyonlar (Birleşik)'!G21,'Tüm İstasyonlar (Birleşik)'!H21,'Tüm İstasyonlar (Birleşik)'!I21,'Tüm İstasyonlar (Birleşik)'!J21)</f>
        <v/>
      </c>
      <c r="I21" s="12">
        <f>SUM('Tüm İstasyonlar (Birleşik)'!K21,'Tüm İstasyonlar (Birleşik)'!L21,'Tüm İstasyonlar (Birleşik)'!M21,'Tüm İstasyonlar (Birleşik)'!N21,'Tüm İstasyonlar (Birleşik)'!O21,'Tüm İstasyonlar (Birleşik)'!P21,'Tüm İstasyonlar (Birleşik)'!Q21,'Tüm İstasyonlar (Birleşik)'!R21,'Tüm İstasyonlar (Birleşik)'!S21,'Tüm İstasyonlar (Birleşik)'!T21,'Tüm İstasyonlar (Birleşik)'!U21,'Tüm İstasyonlar (Birleşik)'!V21,'Tüm İstasyonlar (Birleşik)'!W21,'Tüm İstasyonlar (Birleşik)'!X21,'Tüm İstasyonlar (Birleşik)'!Y21,'Tüm İstasyonlar (Birleşik)'!Z21,'Tüm İstasyonlar (Birleşik)'!AA21,'Tüm İstasyonlar (Birleşik)'!AB21,'Tüm İstasyonlar (Birleşik)'!AC21,'Tüm İstasyonlar (Birleşik)'!AD21)</f>
        <v/>
      </c>
    </row>
    <row r="22">
      <c r="A22" s="5" t="n">
        <v>17</v>
      </c>
      <c r="B22" s="6" t="inlineStr">
        <is>
          <t>Muradiye</t>
        </is>
      </c>
      <c r="C22" s="7">
        <f>'Tüm İstasyonlar (Birleşik)'!AE22</f>
        <v/>
      </c>
      <c r="D22" s="7">
        <f>'Tüm İstasyonlar (Birleşik)'!AF22</f>
        <v/>
      </c>
      <c r="E22" s="8">
        <f>C22+D22</f>
        <v/>
      </c>
      <c r="F22" s="9">
        <f>IFERROR(E22/'Tüm İstasyonlar (Birleşik)'!$AG$357,0)</f>
        <v/>
      </c>
      <c r="G22" s="9">
        <f>IFERROR(SUM($E$6:E22)/'Tüm İstasyonlar (Birleşik)'!$AG$357,0)</f>
        <v/>
      </c>
      <c r="H22" s="7">
        <f>SUM('Tüm İstasyonlar (Birleşik)'!C22,'Tüm İstasyonlar (Birleşik)'!D22,'Tüm İstasyonlar (Birleşik)'!E22,'Tüm İstasyonlar (Birleşik)'!F22,'Tüm İstasyonlar (Birleşik)'!G22,'Tüm İstasyonlar (Birleşik)'!H22,'Tüm İstasyonlar (Birleşik)'!I22,'Tüm İstasyonlar (Birleşik)'!J22)</f>
        <v/>
      </c>
      <c r="I22" s="7">
        <f>SUM('Tüm İstasyonlar (Birleşik)'!K22,'Tüm İstasyonlar (Birleşik)'!L22,'Tüm İstasyonlar (Birleşik)'!M22,'Tüm İstasyonlar (Birleşik)'!N22,'Tüm İstasyonlar (Birleşik)'!O22,'Tüm İstasyonlar (Birleşik)'!P22,'Tüm İstasyonlar (Birleşik)'!Q22,'Tüm İstasyonlar (Birleşik)'!R22,'Tüm İstasyonlar (Birleşik)'!S22,'Tüm İstasyonlar (Birleşik)'!T22,'Tüm İstasyonlar (Birleşik)'!U22,'Tüm İstasyonlar (Birleşik)'!V22,'Tüm İstasyonlar (Birleşik)'!W22,'Tüm İstasyonlar (Birleşik)'!X22,'Tüm İstasyonlar (Birleşik)'!Y22,'Tüm İstasyonlar (Birleşik)'!Z22,'Tüm İstasyonlar (Birleşik)'!AA22,'Tüm İstasyonlar (Birleşik)'!AB22,'Tüm İstasyonlar (Birleşik)'!AC22,'Tüm İstasyonlar (Birleşik)'!AD22)</f>
        <v/>
      </c>
    </row>
    <row r="23">
      <c r="A23" s="10" t="n">
        <v>18</v>
      </c>
      <c r="B23" s="11" t="inlineStr">
        <is>
          <t>Bandırma</t>
        </is>
      </c>
      <c r="C23" s="12">
        <f>'Tüm İstasyonlar (Birleşik)'!AE23</f>
        <v/>
      </c>
      <c r="D23" s="12">
        <f>'Tüm İstasyonlar (Birleşik)'!AF23</f>
        <v/>
      </c>
      <c r="E23" s="13">
        <f>C23+D23</f>
        <v/>
      </c>
      <c r="F23" s="14">
        <f>IFERROR(E23/'Tüm İstasyonlar (Birleşik)'!$AG$357,0)</f>
        <v/>
      </c>
      <c r="G23" s="14">
        <f>IFERROR(SUM($E$6:E23)/'Tüm İstasyonlar (Birleşik)'!$AG$357,0)</f>
        <v/>
      </c>
      <c r="H23" s="12">
        <f>SUM('Tüm İstasyonlar (Birleşik)'!C23,'Tüm İstasyonlar (Birleşik)'!D23,'Tüm İstasyonlar (Birleşik)'!E23,'Tüm İstasyonlar (Birleşik)'!F23,'Tüm İstasyonlar (Birleşik)'!G23,'Tüm İstasyonlar (Birleşik)'!H23,'Tüm İstasyonlar (Birleşik)'!I23,'Tüm İstasyonlar (Birleşik)'!J23)</f>
        <v/>
      </c>
      <c r="I23" s="12">
        <f>SUM('Tüm İstasyonlar (Birleşik)'!K23,'Tüm İstasyonlar (Birleşik)'!L23,'Tüm İstasyonlar (Birleşik)'!M23,'Tüm İstasyonlar (Birleşik)'!N23,'Tüm İstasyonlar (Birleşik)'!O23,'Tüm İstasyonlar (Birleşik)'!P23,'Tüm İstasyonlar (Birleşik)'!Q23,'Tüm İstasyonlar (Birleşik)'!R23,'Tüm İstasyonlar (Birleşik)'!S23,'Tüm İstasyonlar (Birleşik)'!T23,'Tüm İstasyonlar (Birleşik)'!U23,'Tüm İstasyonlar (Birleşik)'!V23,'Tüm İstasyonlar (Birleşik)'!W23,'Tüm İstasyonlar (Birleşik)'!X23,'Tüm İstasyonlar (Birleşik)'!Y23,'Tüm İstasyonlar (Birleşik)'!Z23,'Tüm İstasyonlar (Birleşik)'!AA23,'Tüm İstasyonlar (Birleşik)'!AB23,'Tüm İstasyonlar (Birleşik)'!AC23,'Tüm İstasyonlar (Birleşik)'!AD23)</f>
        <v/>
      </c>
    </row>
    <row r="24">
      <c r="A24" s="5" t="n">
        <v>19</v>
      </c>
      <c r="B24" s="6" t="inlineStr">
        <is>
          <t>Halkalı</t>
        </is>
      </c>
      <c r="C24" s="7">
        <f>'Tüm İstasyonlar (Birleşik)'!AE24</f>
        <v/>
      </c>
      <c r="D24" s="7">
        <f>'Tüm İstasyonlar (Birleşik)'!AF24</f>
        <v/>
      </c>
      <c r="E24" s="8">
        <f>C24+D24</f>
        <v/>
      </c>
      <c r="F24" s="9">
        <f>IFERROR(E24/'Tüm İstasyonlar (Birleşik)'!$AG$357,0)</f>
        <v/>
      </c>
      <c r="G24" s="9">
        <f>IFERROR(SUM($E$6:E24)/'Tüm İstasyonlar (Birleşik)'!$AG$357,0)</f>
        <v/>
      </c>
      <c r="H24" s="7">
        <f>SUM('Tüm İstasyonlar (Birleşik)'!C24,'Tüm İstasyonlar (Birleşik)'!D24,'Tüm İstasyonlar (Birleşik)'!E24,'Tüm İstasyonlar (Birleşik)'!F24,'Tüm İstasyonlar (Birleşik)'!G24,'Tüm İstasyonlar (Birleşik)'!H24,'Tüm İstasyonlar (Birleşik)'!I24,'Tüm İstasyonlar (Birleşik)'!J24)</f>
        <v/>
      </c>
      <c r="I24" s="7">
        <f>SUM('Tüm İstasyonlar (Birleşik)'!K24,'Tüm İstasyonlar (Birleşik)'!L24,'Tüm İstasyonlar (Birleşik)'!M24,'Tüm İstasyonlar (Birleşik)'!N24,'Tüm İstasyonlar (Birleşik)'!O24,'Tüm İstasyonlar (Birleşik)'!P24,'Tüm İstasyonlar (Birleşik)'!Q24,'Tüm İstasyonlar (Birleşik)'!R24,'Tüm İstasyonlar (Birleşik)'!S24,'Tüm İstasyonlar (Birleşik)'!T24,'Tüm İstasyonlar (Birleşik)'!U24,'Tüm İstasyonlar (Birleşik)'!V24,'Tüm İstasyonlar (Birleşik)'!W24,'Tüm İstasyonlar (Birleşik)'!X24,'Tüm İstasyonlar (Birleşik)'!Y24,'Tüm İstasyonlar (Birleşik)'!Z24,'Tüm İstasyonlar (Birleşik)'!AA24,'Tüm İstasyonlar (Birleşik)'!AB24,'Tüm İstasyonlar (Birleşik)'!AC24,'Tüm İstasyonlar (Birleşik)'!AD24)</f>
        <v/>
      </c>
    </row>
    <row r="25">
      <c r="A25" s="10" t="n">
        <v>20</v>
      </c>
      <c r="B25" s="11" t="inlineStr">
        <is>
          <t>Yarımca</t>
        </is>
      </c>
      <c r="C25" s="12">
        <f>'Tüm İstasyonlar (Birleşik)'!AE25</f>
        <v/>
      </c>
      <c r="D25" s="12">
        <f>'Tüm İstasyonlar (Birleşik)'!AF25</f>
        <v/>
      </c>
      <c r="E25" s="13">
        <f>C25+D25</f>
        <v/>
      </c>
      <c r="F25" s="14">
        <f>IFERROR(E25/'Tüm İstasyonlar (Birleşik)'!$AG$357,0)</f>
        <v/>
      </c>
      <c r="G25" s="14">
        <f>IFERROR(SUM($E$6:E25)/'Tüm İstasyonlar (Birleşik)'!$AG$357,0)</f>
        <v/>
      </c>
      <c r="H25" s="12">
        <f>SUM('Tüm İstasyonlar (Birleşik)'!C25,'Tüm İstasyonlar (Birleşik)'!D25,'Tüm İstasyonlar (Birleşik)'!E25,'Tüm İstasyonlar (Birleşik)'!F25,'Tüm İstasyonlar (Birleşik)'!G25,'Tüm İstasyonlar (Birleşik)'!H25,'Tüm İstasyonlar (Birleşik)'!I25,'Tüm İstasyonlar (Birleşik)'!J25)</f>
        <v/>
      </c>
      <c r="I25" s="12">
        <f>SUM('Tüm İstasyonlar (Birleşik)'!K25,'Tüm İstasyonlar (Birleşik)'!L25,'Tüm İstasyonlar (Birleşik)'!M25,'Tüm İstasyonlar (Birleşik)'!N25,'Tüm İstasyonlar (Birleşik)'!O25,'Tüm İstasyonlar (Birleşik)'!P25,'Tüm İstasyonlar (Birleşik)'!Q25,'Tüm İstasyonlar (Birleşik)'!R25,'Tüm İstasyonlar (Birleşik)'!S25,'Tüm İstasyonlar (Birleşik)'!T25,'Tüm İstasyonlar (Birleşik)'!U25,'Tüm İstasyonlar (Birleşik)'!V25,'Tüm İstasyonlar (Birleşik)'!W25,'Tüm İstasyonlar (Birleşik)'!X25,'Tüm İstasyonlar (Birleşik)'!Y25,'Tüm İstasyonlar (Birleşik)'!Z25,'Tüm İstasyonlar (Birleşik)'!AA25,'Tüm İstasyonlar (Birleşik)'!AB25,'Tüm İstasyonlar (Birleşik)'!AC25,'Tüm İstasyonlar (Birleşik)'!AD25)</f>
        <v/>
      </c>
    </row>
    <row r="26">
      <c r="A26" s="15" t="n"/>
      <c r="B26" s="16" t="inlineStr">
        <is>
          <t>İLK 20 TOPLAMI</t>
        </is>
      </c>
      <c r="C26" s="17">
        <f>SUM(C6:C25)</f>
        <v/>
      </c>
      <c r="D26" s="17">
        <f>SUM(D6:D25)</f>
        <v/>
      </c>
      <c r="E26" s="17">
        <f>SUM(E6:E25)</f>
        <v/>
      </c>
      <c r="F26" s="18">
        <f>IFERROR(E26/'Tüm İstasyonlar (Birleşik)'!$AG$357,0)</f>
        <v/>
      </c>
      <c r="G26" s="15" t="n"/>
      <c r="H26" s="17">
        <f>SUM(H6:H25)</f>
        <v/>
      </c>
      <c r="I26" s="17">
        <f>SUM(I6:I25)</f>
        <v/>
      </c>
    </row>
    <row r="27">
      <c r="A27" s="15" t="n"/>
      <c r="B27" s="16" t="inlineStr">
        <is>
          <t>TÜM İSTASYONLAR (GENEL TOPLAM)</t>
        </is>
      </c>
      <c r="C27" s="17">
        <f>'Tüm İstasyonlar (Birleşik)'!AE357</f>
        <v/>
      </c>
      <c r="D27" s="17">
        <f>'Tüm İstasyonlar (Birleşik)'!AF357</f>
        <v/>
      </c>
      <c r="E27" s="17">
        <f>'Tüm İstasyonlar (Birleşik)'!$AG$357</f>
        <v/>
      </c>
      <c r="F27" s="18">
        <f>IFERROR(E27/'Tüm İstasyonlar (Birleşik)'!$AG$357,0)</f>
        <v/>
      </c>
      <c r="G27" s="15" t="n"/>
      <c r="H27" s="17">
        <f>'Tüm İstasyonlar (Birleşik)'!C357+'Tüm İstasyonlar (Birleşik)'!D357+'Tüm İstasyonlar (Birleşik)'!E357+'Tüm İstasyonlar (Birleşik)'!F357+'Tüm İstasyonlar (Birleşik)'!G357+'Tüm İstasyonlar (Birleşik)'!H357+'Tüm İstasyonlar (Birleşik)'!I357+'Tüm İstasyonlar (Birleşik)'!J357</f>
        <v/>
      </c>
      <c r="I27" s="17">
        <f>'Tüm İstasyonlar (Birleşik)'!K357+'Tüm İstasyonlar (Birleşik)'!L357+'Tüm İstasyonlar (Birleşik)'!M357+'Tüm İstasyonlar (Birleşik)'!N357+'Tüm İstasyonlar (Birleşik)'!O357+'Tüm İstasyonlar (Birleşik)'!P357+'Tüm İstasyonlar (Birleşik)'!Q357+'Tüm İstasyonlar (Birleşik)'!R357+'Tüm İstasyonlar (Birleşik)'!S357+'Tüm İstasyonlar (Birleşik)'!T357+'Tüm İstasyonlar (Birleşik)'!U357+'Tüm İstasyonlar (Birleşik)'!V357+'Tüm İstasyonlar (Birleşik)'!W357+'Tüm İstasyonlar (Birleşik)'!X357+'Tüm İstasyonlar (Birleşik)'!Y357+'Tüm İstasyonlar (Birleşik)'!Z357+'Tüm İstasyonlar (Birleşik)'!AA357+'Tüm İstasyonlar (Birleşik)'!AB357+'Tüm İstasyonlar (Birleşik)'!AC357+'Tüm İstasyonlar (Birleşik)'!AD357</f>
        <v/>
      </c>
    </row>
  </sheetData>
  <printOptions horizontalCentered="1"/>
  <pageMargins left="0.4" right="0.4" top="0.6" bottom="0.5" header="0.25" footer="0.25"/>
  <pageSetup orientation="landscape" paperSize="9" fitToHeight="0" fitToWidth="1"/>
  <headerFooter>
    <oddHeader>&amp;L&amp;"Arial,Bold"&amp;10İlk 20 İstasyon&amp;R&amp;"Arial"&amp;8İstasyon Bazlı Yük Taşımaları</oddHeader>
    <oddFooter>&amp;L&amp;"Arial"&amp;8Kaynak: SAP ZANALYSIS_PATTERN (birleşik)&amp;R&amp;"Arial"&amp;8Sayfa &amp;P / &amp;N</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S2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c r="A1" s="19" t="inlineStr">
        <is>
          <t>İlk 20 İstasyon — Yıl Bazında Yük (Netton, TON)</t>
        </is>
      </c>
    </row>
    <row r="2">
      <c r="A2" s="3" t="inlineStr">
        <is>
          <t>2013-2016 verisi 30aa1bf0-ZANALYSIS_PATTERN_NEW_3.xls, 2017-2026 verisi fef7ddf6-ZANALYSIS_PATTERN__20260807T105517.750.xls dosyasından gelmektedir. 2026 kısmi yıldır.</t>
        </is>
      </c>
    </row>
    <row r="4" ht="20" customHeight="1">
      <c r="A4" s="4" t="inlineStr">
        <is>
          <t>Sıra</t>
        </is>
      </c>
      <c r="B4" s="4" t="inlineStr">
        <is>
          <t>İstasyon</t>
        </is>
      </c>
      <c r="C4" s="4" t="inlineStr">
        <is>
          <t>2013</t>
        </is>
      </c>
      <c r="D4" s="4" t="n"/>
      <c r="E4" s="4" t="n"/>
      <c r="F4" s="4" t="inlineStr">
        <is>
          <t>2014</t>
        </is>
      </c>
      <c r="G4" s="4" t="n"/>
      <c r="H4" s="4" t="n"/>
      <c r="I4" s="4" t="inlineStr">
        <is>
          <t>2015</t>
        </is>
      </c>
      <c r="J4" s="4" t="n"/>
      <c r="K4" s="4" t="n"/>
      <c r="L4" s="4" t="inlineStr">
        <is>
          <t>2016</t>
        </is>
      </c>
      <c r="M4" s="4" t="n"/>
      <c r="N4" s="4" t="n"/>
      <c r="O4" s="4" t="inlineStr">
        <is>
          <t>2017</t>
        </is>
      </c>
      <c r="P4" s="4" t="n"/>
      <c r="Q4" s="4" t="n"/>
      <c r="R4" s="4" t="inlineStr">
        <is>
          <t>2018</t>
        </is>
      </c>
      <c r="S4" s="4" t="n"/>
      <c r="T4" s="4" t="n"/>
      <c r="U4" s="4" t="inlineStr">
        <is>
          <t>2019</t>
        </is>
      </c>
      <c r="V4" s="4" t="n"/>
      <c r="W4" s="4" t="n"/>
      <c r="X4" s="4" t="inlineStr">
        <is>
          <t>2020</t>
        </is>
      </c>
      <c r="Y4" s="4" t="n"/>
      <c r="Z4" s="4" t="n"/>
      <c r="AA4" s="4" t="inlineStr">
        <is>
          <t>2021</t>
        </is>
      </c>
      <c r="AB4" s="4" t="n"/>
      <c r="AC4" s="4" t="n"/>
      <c r="AD4" s="4" t="inlineStr">
        <is>
          <t>2022</t>
        </is>
      </c>
      <c r="AE4" s="4" t="n"/>
      <c r="AF4" s="4" t="n"/>
      <c r="AG4" s="4" t="inlineStr">
        <is>
          <t>2023</t>
        </is>
      </c>
      <c r="AH4" s="4" t="n"/>
      <c r="AI4" s="4" t="n"/>
      <c r="AJ4" s="4" t="inlineStr">
        <is>
          <t>2024</t>
        </is>
      </c>
      <c r="AK4" s="4" t="n"/>
      <c r="AL4" s="4" t="n"/>
      <c r="AM4" s="4" t="inlineStr">
        <is>
          <t>2025</t>
        </is>
      </c>
      <c r="AN4" s="4" t="n"/>
      <c r="AO4" s="4" t="n"/>
      <c r="AP4" s="4" t="inlineStr">
        <is>
          <t>2026 *</t>
        </is>
      </c>
      <c r="AQ4" s="4" t="n"/>
      <c r="AR4" s="4" t="n"/>
      <c r="AS4" s="4" t="inlineStr">
        <is>
          <t>GENEL
TOPLAM</t>
        </is>
      </c>
    </row>
    <row r="5" ht="16" customHeight="1">
      <c r="A5" s="20" t="n"/>
      <c r="B5" s="20" t="n"/>
      <c r="C5" s="20" t="inlineStr">
        <is>
          <t>Giden</t>
        </is>
      </c>
      <c r="D5" s="20" t="inlineStr">
        <is>
          <t>Gelen</t>
        </is>
      </c>
      <c r="E5" s="20" t="inlineStr">
        <is>
          <t>Toplam</t>
        </is>
      </c>
      <c r="F5" s="20" t="inlineStr">
        <is>
          <t>Giden</t>
        </is>
      </c>
      <c r="G5" s="20" t="inlineStr">
        <is>
          <t>Gelen</t>
        </is>
      </c>
      <c r="H5" s="20" t="inlineStr">
        <is>
          <t>Toplam</t>
        </is>
      </c>
      <c r="I5" s="20" t="inlineStr">
        <is>
          <t>Giden</t>
        </is>
      </c>
      <c r="J5" s="20" t="inlineStr">
        <is>
          <t>Gelen</t>
        </is>
      </c>
      <c r="K5" s="20" t="inlineStr">
        <is>
          <t>Toplam</t>
        </is>
      </c>
      <c r="L5" s="20" t="inlineStr">
        <is>
          <t>Giden</t>
        </is>
      </c>
      <c r="M5" s="20" t="inlineStr">
        <is>
          <t>Gelen</t>
        </is>
      </c>
      <c r="N5" s="20" t="inlineStr">
        <is>
          <t>Toplam</t>
        </is>
      </c>
      <c r="O5" s="20" t="inlineStr">
        <is>
          <t>Giden</t>
        </is>
      </c>
      <c r="P5" s="20" t="inlineStr">
        <is>
          <t>Gelen</t>
        </is>
      </c>
      <c r="Q5" s="20" t="inlineStr">
        <is>
          <t>Toplam</t>
        </is>
      </c>
      <c r="R5" s="20" t="inlineStr">
        <is>
          <t>Giden</t>
        </is>
      </c>
      <c r="S5" s="20" t="inlineStr">
        <is>
          <t>Gelen</t>
        </is>
      </c>
      <c r="T5" s="20" t="inlineStr">
        <is>
          <t>Toplam</t>
        </is>
      </c>
      <c r="U5" s="20" t="inlineStr">
        <is>
          <t>Giden</t>
        </is>
      </c>
      <c r="V5" s="20" t="inlineStr">
        <is>
          <t>Gelen</t>
        </is>
      </c>
      <c r="W5" s="20" t="inlineStr">
        <is>
          <t>Toplam</t>
        </is>
      </c>
      <c r="X5" s="20" t="inlineStr">
        <is>
          <t>Giden</t>
        </is>
      </c>
      <c r="Y5" s="20" t="inlineStr">
        <is>
          <t>Gelen</t>
        </is>
      </c>
      <c r="Z5" s="20" t="inlineStr">
        <is>
          <t>Toplam</t>
        </is>
      </c>
      <c r="AA5" s="20" t="inlineStr">
        <is>
          <t>Giden</t>
        </is>
      </c>
      <c r="AB5" s="20" t="inlineStr">
        <is>
          <t>Gelen</t>
        </is>
      </c>
      <c r="AC5" s="20" t="inlineStr">
        <is>
          <t>Toplam</t>
        </is>
      </c>
      <c r="AD5" s="20" t="inlineStr">
        <is>
          <t>Giden</t>
        </is>
      </c>
      <c r="AE5" s="20" t="inlineStr">
        <is>
          <t>Gelen</t>
        </is>
      </c>
      <c r="AF5" s="20" t="inlineStr">
        <is>
          <t>Toplam</t>
        </is>
      </c>
      <c r="AG5" s="20" t="inlineStr">
        <is>
          <t>Giden</t>
        </is>
      </c>
      <c r="AH5" s="20" t="inlineStr">
        <is>
          <t>Gelen</t>
        </is>
      </c>
      <c r="AI5" s="20" t="inlineStr">
        <is>
          <t>Toplam</t>
        </is>
      </c>
      <c r="AJ5" s="20" t="inlineStr">
        <is>
          <t>Giden</t>
        </is>
      </c>
      <c r="AK5" s="20" t="inlineStr">
        <is>
          <t>Gelen</t>
        </is>
      </c>
      <c r="AL5" s="20" t="inlineStr">
        <is>
          <t>Toplam</t>
        </is>
      </c>
      <c r="AM5" s="20" t="inlineStr">
        <is>
          <t>Giden</t>
        </is>
      </c>
      <c r="AN5" s="20" t="inlineStr">
        <is>
          <t>Gelen</t>
        </is>
      </c>
      <c r="AO5" s="20" t="inlineStr">
        <is>
          <t>Toplam</t>
        </is>
      </c>
      <c r="AP5" s="20" t="inlineStr">
        <is>
          <t>Giden</t>
        </is>
      </c>
      <c r="AQ5" s="20" t="inlineStr">
        <is>
          <t>Gelen</t>
        </is>
      </c>
      <c r="AR5" s="20" t="inlineStr">
        <is>
          <t>Toplam</t>
        </is>
      </c>
      <c r="AS5" s="20" t="n"/>
    </row>
    <row r="6">
      <c r="A6" s="5" t="n">
        <v>1</v>
      </c>
      <c r="B6" s="6" t="inlineStr">
        <is>
          <t>Ülkü</t>
        </is>
      </c>
      <c r="C6" s="7">
        <f>'Tüm İstasyonlar (Birleşik)'!C6</f>
        <v/>
      </c>
      <c r="D6" s="7">
        <f>'Tüm İstasyonlar (Birleşik)'!D6</f>
        <v/>
      </c>
      <c r="E6" s="8">
        <f>C6+D6</f>
        <v/>
      </c>
      <c r="F6" s="7">
        <f>'Tüm İstasyonlar (Birleşik)'!E6</f>
        <v/>
      </c>
      <c r="G6" s="7">
        <f>'Tüm İstasyonlar (Birleşik)'!F6</f>
        <v/>
      </c>
      <c r="H6" s="8">
        <f>F6+G6</f>
        <v/>
      </c>
      <c r="I6" s="7">
        <f>'Tüm İstasyonlar (Birleşik)'!G6</f>
        <v/>
      </c>
      <c r="J6" s="7">
        <f>'Tüm İstasyonlar (Birleşik)'!H6</f>
        <v/>
      </c>
      <c r="K6" s="8">
        <f>I6+J6</f>
        <v/>
      </c>
      <c r="L6" s="7">
        <f>'Tüm İstasyonlar (Birleşik)'!I6</f>
        <v/>
      </c>
      <c r="M6" s="7">
        <f>'Tüm İstasyonlar (Birleşik)'!J6</f>
        <v/>
      </c>
      <c r="N6" s="8">
        <f>L6+M6</f>
        <v/>
      </c>
      <c r="O6" s="7">
        <f>'Tüm İstasyonlar (Birleşik)'!K6</f>
        <v/>
      </c>
      <c r="P6" s="7">
        <f>'Tüm İstasyonlar (Birleşik)'!L6</f>
        <v/>
      </c>
      <c r="Q6" s="8">
        <f>O6+P6</f>
        <v/>
      </c>
      <c r="R6" s="7">
        <f>'Tüm İstasyonlar (Birleşik)'!M6</f>
        <v/>
      </c>
      <c r="S6" s="7">
        <f>'Tüm İstasyonlar (Birleşik)'!N6</f>
        <v/>
      </c>
      <c r="T6" s="8">
        <f>R6+S6</f>
        <v/>
      </c>
      <c r="U6" s="7">
        <f>'Tüm İstasyonlar (Birleşik)'!O6</f>
        <v/>
      </c>
      <c r="V6" s="7">
        <f>'Tüm İstasyonlar (Birleşik)'!P6</f>
        <v/>
      </c>
      <c r="W6" s="8">
        <f>U6+V6</f>
        <v/>
      </c>
      <c r="X6" s="7">
        <f>'Tüm İstasyonlar (Birleşik)'!Q6</f>
        <v/>
      </c>
      <c r="Y6" s="7">
        <f>'Tüm İstasyonlar (Birleşik)'!R6</f>
        <v/>
      </c>
      <c r="Z6" s="8">
        <f>X6+Y6</f>
        <v/>
      </c>
      <c r="AA6" s="7">
        <f>'Tüm İstasyonlar (Birleşik)'!S6</f>
        <v/>
      </c>
      <c r="AB6" s="7">
        <f>'Tüm İstasyonlar (Birleşik)'!T6</f>
        <v/>
      </c>
      <c r="AC6" s="8">
        <f>AA6+AB6</f>
        <v/>
      </c>
      <c r="AD6" s="7">
        <f>'Tüm İstasyonlar (Birleşik)'!U6</f>
        <v/>
      </c>
      <c r="AE6" s="7">
        <f>'Tüm İstasyonlar (Birleşik)'!V6</f>
        <v/>
      </c>
      <c r="AF6" s="8">
        <f>AD6+AE6</f>
        <v/>
      </c>
      <c r="AG6" s="7">
        <f>'Tüm İstasyonlar (Birleşik)'!W6</f>
        <v/>
      </c>
      <c r="AH6" s="7">
        <f>'Tüm İstasyonlar (Birleşik)'!X6</f>
        <v/>
      </c>
      <c r="AI6" s="8">
        <f>AG6+AH6</f>
        <v/>
      </c>
      <c r="AJ6" s="7">
        <f>'Tüm İstasyonlar (Birleşik)'!Y6</f>
        <v/>
      </c>
      <c r="AK6" s="7">
        <f>'Tüm İstasyonlar (Birleşik)'!Z6</f>
        <v/>
      </c>
      <c r="AL6" s="8">
        <f>AJ6+AK6</f>
        <v/>
      </c>
      <c r="AM6" s="7">
        <f>'Tüm İstasyonlar (Birleşik)'!AA6</f>
        <v/>
      </c>
      <c r="AN6" s="7">
        <f>'Tüm İstasyonlar (Birleşik)'!AB6</f>
        <v/>
      </c>
      <c r="AO6" s="8">
        <f>AM6+AN6</f>
        <v/>
      </c>
      <c r="AP6" s="7">
        <f>'Tüm İstasyonlar (Birleşik)'!AC6</f>
        <v/>
      </c>
      <c r="AQ6" s="7">
        <f>'Tüm İstasyonlar (Birleşik)'!AD6</f>
        <v/>
      </c>
      <c r="AR6" s="8">
        <f>AP6+AQ6</f>
        <v/>
      </c>
      <c r="AS6" s="8">
        <f>E6+H6+K6+N6+Q6+T6+W6+Z6+AC6+AF6+AI6+AL6+AO6+AR6</f>
        <v/>
      </c>
    </row>
    <row r="7">
      <c r="A7" s="10" t="n">
        <v>2</v>
      </c>
      <c r="B7" s="11" t="inlineStr">
        <is>
          <t>Payas</t>
        </is>
      </c>
      <c r="C7" s="12">
        <f>'Tüm İstasyonlar (Birleşik)'!C7</f>
        <v/>
      </c>
      <c r="D7" s="12">
        <f>'Tüm İstasyonlar (Birleşik)'!D7</f>
        <v/>
      </c>
      <c r="E7" s="13">
        <f>C7+D7</f>
        <v/>
      </c>
      <c r="F7" s="12">
        <f>'Tüm İstasyonlar (Birleşik)'!E7</f>
        <v/>
      </c>
      <c r="G7" s="12">
        <f>'Tüm İstasyonlar (Birleşik)'!F7</f>
        <v/>
      </c>
      <c r="H7" s="13">
        <f>F7+G7</f>
        <v/>
      </c>
      <c r="I7" s="12">
        <f>'Tüm İstasyonlar (Birleşik)'!G7</f>
        <v/>
      </c>
      <c r="J7" s="12">
        <f>'Tüm İstasyonlar (Birleşik)'!H7</f>
        <v/>
      </c>
      <c r="K7" s="13">
        <f>I7+J7</f>
        <v/>
      </c>
      <c r="L7" s="12">
        <f>'Tüm İstasyonlar (Birleşik)'!I7</f>
        <v/>
      </c>
      <c r="M7" s="12">
        <f>'Tüm İstasyonlar (Birleşik)'!J7</f>
        <v/>
      </c>
      <c r="N7" s="13">
        <f>L7+M7</f>
        <v/>
      </c>
      <c r="O7" s="12">
        <f>'Tüm İstasyonlar (Birleşik)'!K7</f>
        <v/>
      </c>
      <c r="P7" s="12">
        <f>'Tüm İstasyonlar (Birleşik)'!L7</f>
        <v/>
      </c>
      <c r="Q7" s="13">
        <f>O7+P7</f>
        <v/>
      </c>
      <c r="R7" s="12">
        <f>'Tüm İstasyonlar (Birleşik)'!M7</f>
        <v/>
      </c>
      <c r="S7" s="12">
        <f>'Tüm İstasyonlar (Birleşik)'!N7</f>
        <v/>
      </c>
      <c r="T7" s="13">
        <f>R7+S7</f>
        <v/>
      </c>
      <c r="U7" s="12">
        <f>'Tüm İstasyonlar (Birleşik)'!O7</f>
        <v/>
      </c>
      <c r="V7" s="12">
        <f>'Tüm İstasyonlar (Birleşik)'!P7</f>
        <v/>
      </c>
      <c r="W7" s="13">
        <f>U7+V7</f>
        <v/>
      </c>
      <c r="X7" s="12">
        <f>'Tüm İstasyonlar (Birleşik)'!Q7</f>
        <v/>
      </c>
      <c r="Y7" s="12">
        <f>'Tüm İstasyonlar (Birleşik)'!R7</f>
        <v/>
      </c>
      <c r="Z7" s="13">
        <f>X7+Y7</f>
        <v/>
      </c>
      <c r="AA7" s="12">
        <f>'Tüm İstasyonlar (Birleşik)'!S7</f>
        <v/>
      </c>
      <c r="AB7" s="12">
        <f>'Tüm İstasyonlar (Birleşik)'!T7</f>
        <v/>
      </c>
      <c r="AC7" s="13">
        <f>AA7+AB7</f>
        <v/>
      </c>
      <c r="AD7" s="12">
        <f>'Tüm İstasyonlar (Birleşik)'!U7</f>
        <v/>
      </c>
      <c r="AE7" s="12">
        <f>'Tüm İstasyonlar (Birleşik)'!V7</f>
        <v/>
      </c>
      <c r="AF7" s="13">
        <f>AD7+AE7</f>
        <v/>
      </c>
      <c r="AG7" s="12">
        <f>'Tüm İstasyonlar (Birleşik)'!W7</f>
        <v/>
      </c>
      <c r="AH7" s="12">
        <f>'Tüm İstasyonlar (Birleşik)'!X7</f>
        <v/>
      </c>
      <c r="AI7" s="13">
        <f>AG7+AH7</f>
        <v/>
      </c>
      <c r="AJ7" s="12">
        <f>'Tüm İstasyonlar (Birleşik)'!Y7</f>
        <v/>
      </c>
      <c r="AK7" s="12">
        <f>'Tüm İstasyonlar (Birleşik)'!Z7</f>
        <v/>
      </c>
      <c r="AL7" s="13">
        <f>AJ7+AK7</f>
        <v/>
      </c>
      <c r="AM7" s="12">
        <f>'Tüm İstasyonlar (Birleşik)'!AA7</f>
        <v/>
      </c>
      <c r="AN7" s="12">
        <f>'Tüm İstasyonlar (Birleşik)'!AB7</f>
        <v/>
      </c>
      <c r="AO7" s="13">
        <f>AM7+AN7</f>
        <v/>
      </c>
      <c r="AP7" s="12">
        <f>'Tüm İstasyonlar (Birleşik)'!AC7</f>
        <v/>
      </c>
      <c r="AQ7" s="12">
        <f>'Tüm İstasyonlar (Birleşik)'!AD7</f>
        <v/>
      </c>
      <c r="AR7" s="13">
        <f>AP7+AQ7</f>
        <v/>
      </c>
      <c r="AS7" s="13">
        <f>E7+H7+K7+N7+Q7+T7+W7+Z7+AC7+AF7+AI7+AL7+AO7+AR7</f>
        <v/>
      </c>
    </row>
    <row r="8">
      <c r="A8" s="5" t="n">
        <v>3</v>
      </c>
      <c r="B8" s="6" t="inlineStr">
        <is>
          <t>Çatalağzı</t>
        </is>
      </c>
      <c r="C8" s="7">
        <f>'Tüm İstasyonlar (Birleşik)'!C8</f>
        <v/>
      </c>
      <c r="D8" s="7">
        <f>'Tüm İstasyonlar (Birleşik)'!D8</f>
        <v/>
      </c>
      <c r="E8" s="8">
        <f>C8+D8</f>
        <v/>
      </c>
      <c r="F8" s="7">
        <f>'Tüm İstasyonlar (Birleşik)'!E8</f>
        <v/>
      </c>
      <c r="G8" s="7">
        <f>'Tüm İstasyonlar (Birleşik)'!F8</f>
        <v/>
      </c>
      <c r="H8" s="8">
        <f>F8+G8</f>
        <v/>
      </c>
      <c r="I8" s="7">
        <f>'Tüm İstasyonlar (Birleşik)'!G8</f>
        <v/>
      </c>
      <c r="J8" s="7">
        <f>'Tüm İstasyonlar (Birleşik)'!H8</f>
        <v/>
      </c>
      <c r="K8" s="8">
        <f>I8+J8</f>
        <v/>
      </c>
      <c r="L8" s="7">
        <f>'Tüm İstasyonlar (Birleşik)'!I8</f>
        <v/>
      </c>
      <c r="M8" s="7">
        <f>'Tüm İstasyonlar (Birleşik)'!J8</f>
        <v/>
      </c>
      <c r="N8" s="8">
        <f>L8+M8</f>
        <v/>
      </c>
      <c r="O8" s="7">
        <f>'Tüm İstasyonlar (Birleşik)'!K8</f>
        <v/>
      </c>
      <c r="P8" s="7">
        <f>'Tüm İstasyonlar (Birleşik)'!L8</f>
        <v/>
      </c>
      <c r="Q8" s="8">
        <f>O8+P8</f>
        <v/>
      </c>
      <c r="R8" s="7">
        <f>'Tüm İstasyonlar (Birleşik)'!M8</f>
        <v/>
      </c>
      <c r="S8" s="7">
        <f>'Tüm İstasyonlar (Birleşik)'!N8</f>
        <v/>
      </c>
      <c r="T8" s="8">
        <f>R8+S8</f>
        <v/>
      </c>
      <c r="U8" s="7">
        <f>'Tüm İstasyonlar (Birleşik)'!O8</f>
        <v/>
      </c>
      <c r="V8" s="7">
        <f>'Tüm İstasyonlar (Birleşik)'!P8</f>
        <v/>
      </c>
      <c r="W8" s="8">
        <f>U8+V8</f>
        <v/>
      </c>
      <c r="X8" s="7">
        <f>'Tüm İstasyonlar (Birleşik)'!Q8</f>
        <v/>
      </c>
      <c r="Y8" s="7">
        <f>'Tüm İstasyonlar (Birleşik)'!R8</f>
        <v/>
      </c>
      <c r="Z8" s="8">
        <f>X8+Y8</f>
        <v/>
      </c>
      <c r="AA8" s="7">
        <f>'Tüm İstasyonlar (Birleşik)'!S8</f>
        <v/>
      </c>
      <c r="AB8" s="7">
        <f>'Tüm İstasyonlar (Birleşik)'!T8</f>
        <v/>
      </c>
      <c r="AC8" s="8">
        <f>AA8+AB8</f>
        <v/>
      </c>
      <c r="AD8" s="7">
        <f>'Tüm İstasyonlar (Birleşik)'!U8</f>
        <v/>
      </c>
      <c r="AE8" s="7">
        <f>'Tüm İstasyonlar (Birleşik)'!V8</f>
        <v/>
      </c>
      <c r="AF8" s="8">
        <f>AD8+AE8</f>
        <v/>
      </c>
      <c r="AG8" s="7">
        <f>'Tüm İstasyonlar (Birleşik)'!W8</f>
        <v/>
      </c>
      <c r="AH8" s="7">
        <f>'Tüm İstasyonlar (Birleşik)'!X8</f>
        <v/>
      </c>
      <c r="AI8" s="8">
        <f>AG8+AH8</f>
        <v/>
      </c>
      <c r="AJ8" s="7">
        <f>'Tüm İstasyonlar (Birleşik)'!Y8</f>
        <v/>
      </c>
      <c r="AK8" s="7">
        <f>'Tüm İstasyonlar (Birleşik)'!Z8</f>
        <v/>
      </c>
      <c r="AL8" s="8">
        <f>AJ8+AK8</f>
        <v/>
      </c>
      <c r="AM8" s="7">
        <f>'Tüm İstasyonlar (Birleşik)'!AA8</f>
        <v/>
      </c>
      <c r="AN8" s="7">
        <f>'Tüm İstasyonlar (Birleşik)'!AB8</f>
        <v/>
      </c>
      <c r="AO8" s="8">
        <f>AM8+AN8</f>
        <v/>
      </c>
      <c r="AP8" s="7">
        <f>'Tüm İstasyonlar (Birleşik)'!AC8</f>
        <v/>
      </c>
      <c r="AQ8" s="7">
        <f>'Tüm İstasyonlar (Birleşik)'!AD8</f>
        <v/>
      </c>
      <c r="AR8" s="8">
        <f>AP8+AQ8</f>
        <v/>
      </c>
      <c r="AS8" s="8">
        <f>E8+H8+K8+N8+Q8+T8+W8+Z8+AC8+AF8+AI8+AL8+AO8+AR8</f>
        <v/>
      </c>
    </row>
    <row r="9">
      <c r="A9" s="10" t="n">
        <v>4</v>
      </c>
      <c r="B9" s="11" t="inlineStr">
        <is>
          <t>Hekimhan</t>
        </is>
      </c>
      <c r="C9" s="12">
        <f>'Tüm İstasyonlar (Birleşik)'!C9</f>
        <v/>
      </c>
      <c r="D9" s="12">
        <f>'Tüm İstasyonlar (Birleşik)'!D9</f>
        <v/>
      </c>
      <c r="E9" s="13">
        <f>C9+D9</f>
        <v/>
      </c>
      <c r="F9" s="12">
        <f>'Tüm İstasyonlar (Birleşik)'!E9</f>
        <v/>
      </c>
      <c r="G9" s="12">
        <f>'Tüm İstasyonlar (Birleşik)'!F9</f>
        <v/>
      </c>
      <c r="H9" s="13">
        <f>F9+G9</f>
        <v/>
      </c>
      <c r="I9" s="12">
        <f>'Tüm İstasyonlar (Birleşik)'!G9</f>
        <v/>
      </c>
      <c r="J9" s="12">
        <f>'Tüm İstasyonlar (Birleşik)'!H9</f>
        <v/>
      </c>
      <c r="K9" s="13">
        <f>I9+J9</f>
        <v/>
      </c>
      <c r="L9" s="12">
        <f>'Tüm İstasyonlar (Birleşik)'!I9</f>
        <v/>
      </c>
      <c r="M9" s="12">
        <f>'Tüm İstasyonlar (Birleşik)'!J9</f>
        <v/>
      </c>
      <c r="N9" s="13">
        <f>L9+M9</f>
        <v/>
      </c>
      <c r="O9" s="12">
        <f>'Tüm İstasyonlar (Birleşik)'!K9</f>
        <v/>
      </c>
      <c r="P9" s="12">
        <f>'Tüm İstasyonlar (Birleşik)'!L9</f>
        <v/>
      </c>
      <c r="Q9" s="13">
        <f>O9+P9</f>
        <v/>
      </c>
      <c r="R9" s="12">
        <f>'Tüm İstasyonlar (Birleşik)'!M9</f>
        <v/>
      </c>
      <c r="S9" s="12">
        <f>'Tüm İstasyonlar (Birleşik)'!N9</f>
        <v/>
      </c>
      <c r="T9" s="13">
        <f>R9+S9</f>
        <v/>
      </c>
      <c r="U9" s="12">
        <f>'Tüm İstasyonlar (Birleşik)'!O9</f>
        <v/>
      </c>
      <c r="V9" s="12">
        <f>'Tüm İstasyonlar (Birleşik)'!P9</f>
        <v/>
      </c>
      <c r="W9" s="13">
        <f>U9+V9</f>
        <v/>
      </c>
      <c r="X9" s="12">
        <f>'Tüm İstasyonlar (Birleşik)'!Q9</f>
        <v/>
      </c>
      <c r="Y9" s="12">
        <f>'Tüm İstasyonlar (Birleşik)'!R9</f>
        <v/>
      </c>
      <c r="Z9" s="13">
        <f>X9+Y9</f>
        <v/>
      </c>
      <c r="AA9" s="12">
        <f>'Tüm İstasyonlar (Birleşik)'!S9</f>
        <v/>
      </c>
      <c r="AB9" s="12">
        <f>'Tüm İstasyonlar (Birleşik)'!T9</f>
        <v/>
      </c>
      <c r="AC9" s="13">
        <f>AA9+AB9</f>
        <v/>
      </c>
      <c r="AD9" s="12">
        <f>'Tüm İstasyonlar (Birleşik)'!U9</f>
        <v/>
      </c>
      <c r="AE9" s="12">
        <f>'Tüm İstasyonlar (Birleşik)'!V9</f>
        <v/>
      </c>
      <c r="AF9" s="13">
        <f>AD9+AE9</f>
        <v/>
      </c>
      <c r="AG9" s="12">
        <f>'Tüm İstasyonlar (Birleşik)'!W9</f>
        <v/>
      </c>
      <c r="AH9" s="12">
        <f>'Tüm İstasyonlar (Birleşik)'!X9</f>
        <v/>
      </c>
      <c r="AI9" s="13">
        <f>AG9+AH9</f>
        <v/>
      </c>
      <c r="AJ9" s="12">
        <f>'Tüm İstasyonlar (Birleşik)'!Y9</f>
        <v/>
      </c>
      <c r="AK9" s="12">
        <f>'Tüm İstasyonlar (Birleşik)'!Z9</f>
        <v/>
      </c>
      <c r="AL9" s="13">
        <f>AJ9+AK9</f>
        <v/>
      </c>
      <c r="AM9" s="12">
        <f>'Tüm İstasyonlar (Birleşik)'!AA9</f>
        <v/>
      </c>
      <c r="AN9" s="12">
        <f>'Tüm İstasyonlar (Birleşik)'!AB9</f>
        <v/>
      </c>
      <c r="AO9" s="13">
        <f>AM9+AN9</f>
        <v/>
      </c>
      <c r="AP9" s="12">
        <f>'Tüm İstasyonlar (Birleşik)'!AC9</f>
        <v/>
      </c>
      <c r="AQ9" s="12">
        <f>'Tüm İstasyonlar (Birleşik)'!AD9</f>
        <v/>
      </c>
      <c r="AR9" s="13">
        <f>AP9+AQ9</f>
        <v/>
      </c>
      <c r="AS9" s="13">
        <f>E9+H9+K9+N9+Q9+T9+W9+Z9+AC9+AF9+AI9+AL9+AO9+AR9</f>
        <v/>
      </c>
    </row>
    <row r="10">
      <c r="A10" s="5" t="n">
        <v>5</v>
      </c>
      <c r="B10" s="6" t="inlineStr">
        <is>
          <t>Yenice</t>
        </is>
      </c>
      <c r="C10" s="7">
        <f>'Tüm İstasyonlar (Birleşik)'!C10</f>
        <v/>
      </c>
      <c r="D10" s="7">
        <f>'Tüm İstasyonlar (Birleşik)'!D10</f>
        <v/>
      </c>
      <c r="E10" s="8">
        <f>C10+D10</f>
        <v/>
      </c>
      <c r="F10" s="7">
        <f>'Tüm İstasyonlar (Birleşik)'!E10</f>
        <v/>
      </c>
      <c r="G10" s="7">
        <f>'Tüm İstasyonlar (Birleşik)'!F10</f>
        <v/>
      </c>
      <c r="H10" s="8">
        <f>F10+G10</f>
        <v/>
      </c>
      <c r="I10" s="7">
        <f>'Tüm İstasyonlar (Birleşik)'!G10</f>
        <v/>
      </c>
      <c r="J10" s="7">
        <f>'Tüm İstasyonlar (Birleşik)'!H10</f>
        <v/>
      </c>
      <c r="K10" s="8">
        <f>I10+J10</f>
        <v/>
      </c>
      <c r="L10" s="7">
        <f>'Tüm İstasyonlar (Birleşik)'!I10</f>
        <v/>
      </c>
      <c r="M10" s="7">
        <f>'Tüm İstasyonlar (Birleşik)'!J10</f>
        <v/>
      </c>
      <c r="N10" s="8">
        <f>L10+M10</f>
        <v/>
      </c>
      <c r="O10" s="7">
        <f>'Tüm İstasyonlar (Birleşik)'!K10</f>
        <v/>
      </c>
      <c r="P10" s="7">
        <f>'Tüm İstasyonlar (Birleşik)'!L10</f>
        <v/>
      </c>
      <c r="Q10" s="8">
        <f>O10+P10</f>
        <v/>
      </c>
      <c r="R10" s="7">
        <f>'Tüm İstasyonlar (Birleşik)'!M10</f>
        <v/>
      </c>
      <c r="S10" s="7">
        <f>'Tüm İstasyonlar (Birleşik)'!N10</f>
        <v/>
      </c>
      <c r="T10" s="8">
        <f>R10+S10</f>
        <v/>
      </c>
      <c r="U10" s="7">
        <f>'Tüm İstasyonlar (Birleşik)'!O10</f>
        <v/>
      </c>
      <c r="V10" s="7">
        <f>'Tüm İstasyonlar (Birleşik)'!P10</f>
        <v/>
      </c>
      <c r="W10" s="8">
        <f>U10+V10</f>
        <v/>
      </c>
      <c r="X10" s="7">
        <f>'Tüm İstasyonlar (Birleşik)'!Q10</f>
        <v/>
      </c>
      <c r="Y10" s="7">
        <f>'Tüm İstasyonlar (Birleşik)'!R10</f>
        <v/>
      </c>
      <c r="Z10" s="8">
        <f>X10+Y10</f>
        <v/>
      </c>
      <c r="AA10" s="7">
        <f>'Tüm İstasyonlar (Birleşik)'!S10</f>
        <v/>
      </c>
      <c r="AB10" s="7">
        <f>'Tüm İstasyonlar (Birleşik)'!T10</f>
        <v/>
      </c>
      <c r="AC10" s="8">
        <f>AA10+AB10</f>
        <v/>
      </c>
      <c r="AD10" s="7">
        <f>'Tüm İstasyonlar (Birleşik)'!U10</f>
        <v/>
      </c>
      <c r="AE10" s="7">
        <f>'Tüm İstasyonlar (Birleşik)'!V10</f>
        <v/>
      </c>
      <c r="AF10" s="8">
        <f>AD10+AE10</f>
        <v/>
      </c>
      <c r="AG10" s="7">
        <f>'Tüm İstasyonlar (Birleşik)'!W10</f>
        <v/>
      </c>
      <c r="AH10" s="7">
        <f>'Tüm İstasyonlar (Birleşik)'!X10</f>
        <v/>
      </c>
      <c r="AI10" s="8">
        <f>AG10+AH10</f>
        <v/>
      </c>
      <c r="AJ10" s="7">
        <f>'Tüm İstasyonlar (Birleşik)'!Y10</f>
        <v/>
      </c>
      <c r="AK10" s="7">
        <f>'Tüm İstasyonlar (Birleşik)'!Z10</f>
        <v/>
      </c>
      <c r="AL10" s="8">
        <f>AJ10+AK10</f>
        <v/>
      </c>
      <c r="AM10" s="7">
        <f>'Tüm İstasyonlar (Birleşik)'!AA10</f>
        <v/>
      </c>
      <c r="AN10" s="7">
        <f>'Tüm İstasyonlar (Birleşik)'!AB10</f>
        <v/>
      </c>
      <c r="AO10" s="8">
        <f>AM10+AN10</f>
        <v/>
      </c>
      <c r="AP10" s="7">
        <f>'Tüm İstasyonlar (Birleşik)'!AC10</f>
        <v/>
      </c>
      <c r="AQ10" s="7">
        <f>'Tüm İstasyonlar (Birleşik)'!AD10</f>
        <v/>
      </c>
      <c r="AR10" s="8">
        <f>AP10+AQ10</f>
        <v/>
      </c>
      <c r="AS10" s="8">
        <f>E10+H10+K10+N10+Q10+T10+W10+Z10+AC10+AF10+AI10+AL10+AO10+AR10</f>
        <v/>
      </c>
    </row>
    <row r="11">
      <c r="A11" s="10" t="n">
        <v>6</v>
      </c>
      <c r="B11" s="11" t="inlineStr">
        <is>
          <t>Yahşihan</t>
        </is>
      </c>
      <c r="C11" s="12">
        <f>'Tüm İstasyonlar (Birleşik)'!C11</f>
        <v/>
      </c>
      <c r="D11" s="12">
        <f>'Tüm İstasyonlar (Birleşik)'!D11</f>
        <v/>
      </c>
      <c r="E11" s="13">
        <f>C11+D11</f>
        <v/>
      </c>
      <c r="F11" s="12">
        <f>'Tüm İstasyonlar (Birleşik)'!E11</f>
        <v/>
      </c>
      <c r="G11" s="12">
        <f>'Tüm İstasyonlar (Birleşik)'!F11</f>
        <v/>
      </c>
      <c r="H11" s="13">
        <f>F11+G11</f>
        <v/>
      </c>
      <c r="I11" s="12">
        <f>'Tüm İstasyonlar (Birleşik)'!G11</f>
        <v/>
      </c>
      <c r="J11" s="12">
        <f>'Tüm İstasyonlar (Birleşik)'!H11</f>
        <v/>
      </c>
      <c r="K11" s="13">
        <f>I11+J11</f>
        <v/>
      </c>
      <c r="L11" s="12">
        <f>'Tüm İstasyonlar (Birleşik)'!I11</f>
        <v/>
      </c>
      <c r="M11" s="12">
        <f>'Tüm İstasyonlar (Birleşik)'!J11</f>
        <v/>
      </c>
      <c r="N11" s="13">
        <f>L11+M11</f>
        <v/>
      </c>
      <c r="O11" s="12">
        <f>'Tüm İstasyonlar (Birleşik)'!K11</f>
        <v/>
      </c>
      <c r="P11" s="12">
        <f>'Tüm İstasyonlar (Birleşik)'!L11</f>
        <v/>
      </c>
      <c r="Q11" s="13">
        <f>O11+P11</f>
        <v/>
      </c>
      <c r="R11" s="12">
        <f>'Tüm İstasyonlar (Birleşik)'!M11</f>
        <v/>
      </c>
      <c r="S11" s="12">
        <f>'Tüm İstasyonlar (Birleşik)'!N11</f>
        <v/>
      </c>
      <c r="T11" s="13">
        <f>R11+S11</f>
        <v/>
      </c>
      <c r="U11" s="12">
        <f>'Tüm İstasyonlar (Birleşik)'!O11</f>
        <v/>
      </c>
      <c r="V11" s="12">
        <f>'Tüm İstasyonlar (Birleşik)'!P11</f>
        <v/>
      </c>
      <c r="W11" s="13">
        <f>U11+V11</f>
        <v/>
      </c>
      <c r="X11" s="12">
        <f>'Tüm İstasyonlar (Birleşik)'!Q11</f>
        <v/>
      </c>
      <c r="Y11" s="12">
        <f>'Tüm İstasyonlar (Birleşik)'!R11</f>
        <v/>
      </c>
      <c r="Z11" s="13">
        <f>X11+Y11</f>
        <v/>
      </c>
      <c r="AA11" s="12">
        <f>'Tüm İstasyonlar (Birleşik)'!S11</f>
        <v/>
      </c>
      <c r="AB11" s="12">
        <f>'Tüm İstasyonlar (Birleşik)'!T11</f>
        <v/>
      </c>
      <c r="AC11" s="13">
        <f>AA11+AB11</f>
        <v/>
      </c>
      <c r="AD11" s="12">
        <f>'Tüm İstasyonlar (Birleşik)'!U11</f>
        <v/>
      </c>
      <c r="AE11" s="12">
        <f>'Tüm İstasyonlar (Birleşik)'!V11</f>
        <v/>
      </c>
      <c r="AF11" s="13">
        <f>AD11+AE11</f>
        <v/>
      </c>
      <c r="AG11" s="12">
        <f>'Tüm İstasyonlar (Birleşik)'!W11</f>
        <v/>
      </c>
      <c r="AH11" s="12">
        <f>'Tüm İstasyonlar (Birleşik)'!X11</f>
        <v/>
      </c>
      <c r="AI11" s="13">
        <f>AG11+AH11</f>
        <v/>
      </c>
      <c r="AJ11" s="12">
        <f>'Tüm İstasyonlar (Birleşik)'!Y11</f>
        <v/>
      </c>
      <c r="AK11" s="12">
        <f>'Tüm İstasyonlar (Birleşik)'!Z11</f>
        <v/>
      </c>
      <c r="AL11" s="13">
        <f>AJ11+AK11</f>
        <v/>
      </c>
      <c r="AM11" s="12">
        <f>'Tüm İstasyonlar (Birleşik)'!AA11</f>
        <v/>
      </c>
      <c r="AN11" s="12">
        <f>'Tüm İstasyonlar (Birleşik)'!AB11</f>
        <v/>
      </c>
      <c r="AO11" s="13">
        <f>AM11+AN11</f>
        <v/>
      </c>
      <c r="AP11" s="12">
        <f>'Tüm İstasyonlar (Birleşik)'!AC11</f>
        <v/>
      </c>
      <c r="AQ11" s="12">
        <f>'Tüm İstasyonlar (Birleşik)'!AD11</f>
        <v/>
      </c>
      <c r="AR11" s="13">
        <f>AP11+AQ11</f>
        <v/>
      </c>
      <c r="AS11" s="13">
        <f>E11+H11+K11+N11+Q11+T11+W11+Z11+AC11+AF11+AI11+AL11+AO11+AR11</f>
        <v/>
      </c>
    </row>
    <row r="12">
      <c r="A12" s="5" t="n">
        <v>7</v>
      </c>
      <c r="B12" s="6" t="inlineStr">
        <is>
          <t>Biçerova</t>
        </is>
      </c>
      <c r="C12" s="7">
        <f>'Tüm İstasyonlar (Birleşik)'!C12</f>
        <v/>
      </c>
      <c r="D12" s="7">
        <f>'Tüm İstasyonlar (Birleşik)'!D12</f>
        <v/>
      </c>
      <c r="E12" s="8">
        <f>C12+D12</f>
        <v/>
      </c>
      <c r="F12" s="7">
        <f>'Tüm İstasyonlar (Birleşik)'!E12</f>
        <v/>
      </c>
      <c r="G12" s="7">
        <f>'Tüm İstasyonlar (Birleşik)'!F12</f>
        <v/>
      </c>
      <c r="H12" s="8">
        <f>F12+G12</f>
        <v/>
      </c>
      <c r="I12" s="7">
        <f>'Tüm İstasyonlar (Birleşik)'!G12</f>
        <v/>
      </c>
      <c r="J12" s="7">
        <f>'Tüm İstasyonlar (Birleşik)'!H12</f>
        <v/>
      </c>
      <c r="K12" s="8">
        <f>I12+J12</f>
        <v/>
      </c>
      <c r="L12" s="7">
        <f>'Tüm İstasyonlar (Birleşik)'!I12</f>
        <v/>
      </c>
      <c r="M12" s="7">
        <f>'Tüm İstasyonlar (Birleşik)'!J12</f>
        <v/>
      </c>
      <c r="N12" s="8">
        <f>L12+M12</f>
        <v/>
      </c>
      <c r="O12" s="7">
        <f>'Tüm İstasyonlar (Birleşik)'!K12</f>
        <v/>
      </c>
      <c r="P12" s="7">
        <f>'Tüm İstasyonlar (Birleşik)'!L12</f>
        <v/>
      </c>
      <c r="Q12" s="8">
        <f>O12+P12</f>
        <v/>
      </c>
      <c r="R12" s="7">
        <f>'Tüm İstasyonlar (Birleşik)'!M12</f>
        <v/>
      </c>
      <c r="S12" s="7">
        <f>'Tüm İstasyonlar (Birleşik)'!N12</f>
        <v/>
      </c>
      <c r="T12" s="8">
        <f>R12+S12</f>
        <v/>
      </c>
      <c r="U12" s="7">
        <f>'Tüm İstasyonlar (Birleşik)'!O12</f>
        <v/>
      </c>
      <c r="V12" s="7">
        <f>'Tüm İstasyonlar (Birleşik)'!P12</f>
        <v/>
      </c>
      <c r="W12" s="8">
        <f>U12+V12</f>
        <v/>
      </c>
      <c r="X12" s="7">
        <f>'Tüm İstasyonlar (Birleşik)'!Q12</f>
        <v/>
      </c>
      <c r="Y12" s="7">
        <f>'Tüm İstasyonlar (Birleşik)'!R12</f>
        <v/>
      </c>
      <c r="Z12" s="8">
        <f>X12+Y12</f>
        <v/>
      </c>
      <c r="AA12" s="7">
        <f>'Tüm İstasyonlar (Birleşik)'!S12</f>
        <v/>
      </c>
      <c r="AB12" s="7">
        <f>'Tüm İstasyonlar (Birleşik)'!T12</f>
        <v/>
      </c>
      <c r="AC12" s="8">
        <f>AA12+AB12</f>
        <v/>
      </c>
      <c r="AD12" s="7">
        <f>'Tüm İstasyonlar (Birleşik)'!U12</f>
        <v/>
      </c>
      <c r="AE12" s="7">
        <f>'Tüm İstasyonlar (Birleşik)'!V12</f>
        <v/>
      </c>
      <c r="AF12" s="8">
        <f>AD12+AE12</f>
        <v/>
      </c>
      <c r="AG12" s="7">
        <f>'Tüm İstasyonlar (Birleşik)'!W12</f>
        <v/>
      </c>
      <c r="AH12" s="7">
        <f>'Tüm İstasyonlar (Birleşik)'!X12</f>
        <v/>
      </c>
      <c r="AI12" s="8">
        <f>AG12+AH12</f>
        <v/>
      </c>
      <c r="AJ12" s="7">
        <f>'Tüm İstasyonlar (Birleşik)'!Y12</f>
        <v/>
      </c>
      <c r="AK12" s="7">
        <f>'Tüm İstasyonlar (Birleşik)'!Z12</f>
        <v/>
      </c>
      <c r="AL12" s="8">
        <f>AJ12+AK12</f>
        <v/>
      </c>
      <c r="AM12" s="7">
        <f>'Tüm İstasyonlar (Birleşik)'!AA12</f>
        <v/>
      </c>
      <c r="AN12" s="7">
        <f>'Tüm İstasyonlar (Birleşik)'!AB12</f>
        <v/>
      </c>
      <c r="AO12" s="8">
        <f>AM12+AN12</f>
        <v/>
      </c>
      <c r="AP12" s="7">
        <f>'Tüm İstasyonlar (Birleşik)'!AC12</f>
        <v/>
      </c>
      <c r="AQ12" s="7">
        <f>'Tüm İstasyonlar (Birleşik)'!AD12</f>
        <v/>
      </c>
      <c r="AR12" s="8">
        <f>AP12+AQ12</f>
        <v/>
      </c>
      <c r="AS12" s="8">
        <f>E12+H12+K12+N12+Q12+T12+W12+Z12+AC12+AF12+AI12+AL12+AO12+AR12</f>
        <v/>
      </c>
    </row>
    <row r="13">
      <c r="A13" s="10" t="n">
        <v>8</v>
      </c>
      <c r="B13" s="11" t="inlineStr">
        <is>
          <t>Zonguldak</t>
        </is>
      </c>
      <c r="C13" s="12">
        <f>'Tüm İstasyonlar (Birleşik)'!C13</f>
        <v/>
      </c>
      <c r="D13" s="12">
        <f>'Tüm İstasyonlar (Birleşik)'!D13</f>
        <v/>
      </c>
      <c r="E13" s="13">
        <f>C13+D13</f>
        <v/>
      </c>
      <c r="F13" s="12">
        <f>'Tüm İstasyonlar (Birleşik)'!E13</f>
        <v/>
      </c>
      <c r="G13" s="12">
        <f>'Tüm İstasyonlar (Birleşik)'!F13</f>
        <v/>
      </c>
      <c r="H13" s="13">
        <f>F13+G13</f>
        <v/>
      </c>
      <c r="I13" s="12">
        <f>'Tüm İstasyonlar (Birleşik)'!G13</f>
        <v/>
      </c>
      <c r="J13" s="12">
        <f>'Tüm İstasyonlar (Birleşik)'!H13</f>
        <v/>
      </c>
      <c r="K13" s="13">
        <f>I13+J13</f>
        <v/>
      </c>
      <c r="L13" s="12">
        <f>'Tüm İstasyonlar (Birleşik)'!I13</f>
        <v/>
      </c>
      <c r="M13" s="12">
        <f>'Tüm İstasyonlar (Birleşik)'!J13</f>
        <v/>
      </c>
      <c r="N13" s="13">
        <f>L13+M13</f>
        <v/>
      </c>
      <c r="O13" s="12">
        <f>'Tüm İstasyonlar (Birleşik)'!K13</f>
        <v/>
      </c>
      <c r="P13" s="12">
        <f>'Tüm İstasyonlar (Birleşik)'!L13</f>
        <v/>
      </c>
      <c r="Q13" s="13">
        <f>O13+P13</f>
        <v/>
      </c>
      <c r="R13" s="12">
        <f>'Tüm İstasyonlar (Birleşik)'!M13</f>
        <v/>
      </c>
      <c r="S13" s="12">
        <f>'Tüm İstasyonlar (Birleşik)'!N13</f>
        <v/>
      </c>
      <c r="T13" s="13">
        <f>R13+S13</f>
        <v/>
      </c>
      <c r="U13" s="12">
        <f>'Tüm İstasyonlar (Birleşik)'!O13</f>
        <v/>
      </c>
      <c r="V13" s="12">
        <f>'Tüm İstasyonlar (Birleşik)'!P13</f>
        <v/>
      </c>
      <c r="W13" s="13">
        <f>U13+V13</f>
        <v/>
      </c>
      <c r="X13" s="12">
        <f>'Tüm İstasyonlar (Birleşik)'!Q13</f>
        <v/>
      </c>
      <c r="Y13" s="12">
        <f>'Tüm İstasyonlar (Birleşik)'!R13</f>
        <v/>
      </c>
      <c r="Z13" s="13">
        <f>X13+Y13</f>
        <v/>
      </c>
      <c r="AA13" s="12">
        <f>'Tüm İstasyonlar (Birleşik)'!S13</f>
        <v/>
      </c>
      <c r="AB13" s="12">
        <f>'Tüm İstasyonlar (Birleşik)'!T13</f>
        <v/>
      </c>
      <c r="AC13" s="13">
        <f>AA13+AB13</f>
        <v/>
      </c>
      <c r="AD13" s="12">
        <f>'Tüm İstasyonlar (Birleşik)'!U13</f>
        <v/>
      </c>
      <c r="AE13" s="12">
        <f>'Tüm İstasyonlar (Birleşik)'!V13</f>
        <v/>
      </c>
      <c r="AF13" s="13">
        <f>AD13+AE13</f>
        <v/>
      </c>
      <c r="AG13" s="12">
        <f>'Tüm İstasyonlar (Birleşik)'!W13</f>
        <v/>
      </c>
      <c r="AH13" s="12">
        <f>'Tüm İstasyonlar (Birleşik)'!X13</f>
        <v/>
      </c>
      <c r="AI13" s="13">
        <f>AG13+AH13</f>
        <v/>
      </c>
      <c r="AJ13" s="12">
        <f>'Tüm İstasyonlar (Birleşik)'!Y13</f>
        <v/>
      </c>
      <c r="AK13" s="12">
        <f>'Tüm İstasyonlar (Birleşik)'!Z13</f>
        <v/>
      </c>
      <c r="AL13" s="13">
        <f>AJ13+AK13</f>
        <v/>
      </c>
      <c r="AM13" s="12">
        <f>'Tüm İstasyonlar (Birleşik)'!AA13</f>
        <v/>
      </c>
      <c r="AN13" s="12">
        <f>'Tüm İstasyonlar (Birleşik)'!AB13</f>
        <v/>
      </c>
      <c r="AO13" s="13">
        <f>AM13+AN13</f>
        <v/>
      </c>
      <c r="AP13" s="12">
        <f>'Tüm İstasyonlar (Birleşik)'!AC13</f>
        <v/>
      </c>
      <c r="AQ13" s="12">
        <f>'Tüm İstasyonlar (Birleşik)'!AD13</f>
        <v/>
      </c>
      <c r="AR13" s="13">
        <f>AP13+AQ13</f>
        <v/>
      </c>
      <c r="AS13" s="13">
        <f>E13+H13+K13+N13+Q13+T13+W13+Z13+AC13+AF13+AI13+AL13+AO13+AR13</f>
        <v/>
      </c>
    </row>
    <row r="14">
      <c r="A14" s="5" t="n">
        <v>9</v>
      </c>
      <c r="B14" s="6" t="inlineStr">
        <is>
          <t>Yeşilhisar</t>
        </is>
      </c>
      <c r="C14" s="7">
        <f>'Tüm İstasyonlar (Birleşik)'!C14</f>
        <v/>
      </c>
      <c r="D14" s="7">
        <f>'Tüm İstasyonlar (Birleşik)'!D14</f>
        <v/>
      </c>
      <c r="E14" s="8">
        <f>C14+D14</f>
        <v/>
      </c>
      <c r="F14" s="7">
        <f>'Tüm İstasyonlar (Birleşik)'!E14</f>
        <v/>
      </c>
      <c r="G14" s="7">
        <f>'Tüm İstasyonlar (Birleşik)'!F14</f>
        <v/>
      </c>
      <c r="H14" s="8">
        <f>F14+G14</f>
        <v/>
      </c>
      <c r="I14" s="7">
        <f>'Tüm İstasyonlar (Birleşik)'!G14</f>
        <v/>
      </c>
      <c r="J14" s="7">
        <f>'Tüm İstasyonlar (Birleşik)'!H14</f>
        <v/>
      </c>
      <c r="K14" s="8">
        <f>I14+J14</f>
        <v/>
      </c>
      <c r="L14" s="7">
        <f>'Tüm İstasyonlar (Birleşik)'!I14</f>
        <v/>
      </c>
      <c r="M14" s="7">
        <f>'Tüm İstasyonlar (Birleşik)'!J14</f>
        <v/>
      </c>
      <c r="N14" s="8">
        <f>L14+M14</f>
        <v/>
      </c>
      <c r="O14" s="7">
        <f>'Tüm İstasyonlar (Birleşik)'!K14</f>
        <v/>
      </c>
      <c r="P14" s="7">
        <f>'Tüm İstasyonlar (Birleşik)'!L14</f>
        <v/>
      </c>
      <c r="Q14" s="8">
        <f>O14+P14</f>
        <v/>
      </c>
      <c r="R14" s="7">
        <f>'Tüm İstasyonlar (Birleşik)'!M14</f>
        <v/>
      </c>
      <c r="S14" s="7">
        <f>'Tüm İstasyonlar (Birleşik)'!N14</f>
        <v/>
      </c>
      <c r="T14" s="8">
        <f>R14+S14</f>
        <v/>
      </c>
      <c r="U14" s="7">
        <f>'Tüm İstasyonlar (Birleşik)'!O14</f>
        <v/>
      </c>
      <c r="V14" s="7">
        <f>'Tüm İstasyonlar (Birleşik)'!P14</f>
        <v/>
      </c>
      <c r="W14" s="8">
        <f>U14+V14</f>
        <v/>
      </c>
      <c r="X14" s="7">
        <f>'Tüm İstasyonlar (Birleşik)'!Q14</f>
        <v/>
      </c>
      <c r="Y14" s="7">
        <f>'Tüm İstasyonlar (Birleşik)'!R14</f>
        <v/>
      </c>
      <c r="Z14" s="8">
        <f>X14+Y14</f>
        <v/>
      </c>
      <c r="AA14" s="7">
        <f>'Tüm İstasyonlar (Birleşik)'!S14</f>
        <v/>
      </c>
      <c r="AB14" s="7">
        <f>'Tüm İstasyonlar (Birleşik)'!T14</f>
        <v/>
      </c>
      <c r="AC14" s="8">
        <f>AA14+AB14</f>
        <v/>
      </c>
      <c r="AD14" s="7">
        <f>'Tüm İstasyonlar (Birleşik)'!U14</f>
        <v/>
      </c>
      <c r="AE14" s="7">
        <f>'Tüm İstasyonlar (Birleşik)'!V14</f>
        <v/>
      </c>
      <c r="AF14" s="8">
        <f>AD14+AE14</f>
        <v/>
      </c>
      <c r="AG14" s="7">
        <f>'Tüm İstasyonlar (Birleşik)'!W14</f>
        <v/>
      </c>
      <c r="AH14" s="7">
        <f>'Tüm İstasyonlar (Birleşik)'!X14</f>
        <v/>
      </c>
      <c r="AI14" s="8">
        <f>AG14+AH14</f>
        <v/>
      </c>
      <c r="AJ14" s="7">
        <f>'Tüm İstasyonlar (Birleşik)'!Y14</f>
        <v/>
      </c>
      <c r="AK14" s="7">
        <f>'Tüm İstasyonlar (Birleşik)'!Z14</f>
        <v/>
      </c>
      <c r="AL14" s="8">
        <f>AJ14+AK14</f>
        <v/>
      </c>
      <c r="AM14" s="7">
        <f>'Tüm İstasyonlar (Birleşik)'!AA14</f>
        <v/>
      </c>
      <c r="AN14" s="7">
        <f>'Tüm İstasyonlar (Birleşik)'!AB14</f>
        <v/>
      </c>
      <c r="AO14" s="8">
        <f>AM14+AN14</f>
        <v/>
      </c>
      <c r="AP14" s="7">
        <f>'Tüm İstasyonlar (Birleşik)'!AC14</f>
        <v/>
      </c>
      <c r="AQ14" s="7">
        <f>'Tüm İstasyonlar (Birleşik)'!AD14</f>
        <v/>
      </c>
      <c r="AR14" s="8">
        <f>AP14+AQ14</f>
        <v/>
      </c>
      <c r="AS14" s="8">
        <f>E14+H14+K14+N14+Q14+T14+W14+Z14+AC14+AF14+AI14+AL14+AO14+AR14</f>
        <v/>
      </c>
    </row>
    <row r="15">
      <c r="A15" s="10" t="n">
        <v>10</v>
      </c>
      <c r="B15" s="11" t="inlineStr">
        <is>
          <t>Boğazköprü</t>
        </is>
      </c>
      <c r="C15" s="12">
        <f>'Tüm İstasyonlar (Birleşik)'!C15</f>
        <v/>
      </c>
      <c r="D15" s="12">
        <f>'Tüm İstasyonlar (Birleşik)'!D15</f>
        <v/>
      </c>
      <c r="E15" s="13">
        <f>C15+D15</f>
        <v/>
      </c>
      <c r="F15" s="12">
        <f>'Tüm İstasyonlar (Birleşik)'!E15</f>
        <v/>
      </c>
      <c r="G15" s="12">
        <f>'Tüm İstasyonlar (Birleşik)'!F15</f>
        <v/>
      </c>
      <c r="H15" s="13">
        <f>F15+G15</f>
        <v/>
      </c>
      <c r="I15" s="12">
        <f>'Tüm İstasyonlar (Birleşik)'!G15</f>
        <v/>
      </c>
      <c r="J15" s="12">
        <f>'Tüm İstasyonlar (Birleşik)'!H15</f>
        <v/>
      </c>
      <c r="K15" s="13">
        <f>I15+J15</f>
        <v/>
      </c>
      <c r="L15" s="12">
        <f>'Tüm İstasyonlar (Birleşik)'!I15</f>
        <v/>
      </c>
      <c r="M15" s="12">
        <f>'Tüm İstasyonlar (Birleşik)'!J15</f>
        <v/>
      </c>
      <c r="N15" s="13">
        <f>L15+M15</f>
        <v/>
      </c>
      <c r="O15" s="12">
        <f>'Tüm İstasyonlar (Birleşik)'!K15</f>
        <v/>
      </c>
      <c r="P15" s="12">
        <f>'Tüm İstasyonlar (Birleşik)'!L15</f>
        <v/>
      </c>
      <c r="Q15" s="13">
        <f>O15+P15</f>
        <v/>
      </c>
      <c r="R15" s="12">
        <f>'Tüm İstasyonlar (Birleşik)'!M15</f>
        <v/>
      </c>
      <c r="S15" s="12">
        <f>'Tüm İstasyonlar (Birleşik)'!N15</f>
        <v/>
      </c>
      <c r="T15" s="13">
        <f>R15+S15</f>
        <v/>
      </c>
      <c r="U15" s="12">
        <f>'Tüm İstasyonlar (Birleşik)'!O15</f>
        <v/>
      </c>
      <c r="V15" s="12">
        <f>'Tüm İstasyonlar (Birleşik)'!P15</f>
        <v/>
      </c>
      <c r="W15" s="13">
        <f>U15+V15</f>
        <v/>
      </c>
      <c r="X15" s="12">
        <f>'Tüm İstasyonlar (Birleşik)'!Q15</f>
        <v/>
      </c>
      <c r="Y15" s="12">
        <f>'Tüm İstasyonlar (Birleşik)'!R15</f>
        <v/>
      </c>
      <c r="Z15" s="13">
        <f>X15+Y15</f>
        <v/>
      </c>
      <c r="AA15" s="12">
        <f>'Tüm İstasyonlar (Birleşik)'!S15</f>
        <v/>
      </c>
      <c r="AB15" s="12">
        <f>'Tüm İstasyonlar (Birleşik)'!T15</f>
        <v/>
      </c>
      <c r="AC15" s="13">
        <f>AA15+AB15</f>
        <v/>
      </c>
      <c r="AD15" s="12">
        <f>'Tüm İstasyonlar (Birleşik)'!U15</f>
        <v/>
      </c>
      <c r="AE15" s="12">
        <f>'Tüm İstasyonlar (Birleşik)'!V15</f>
        <v/>
      </c>
      <c r="AF15" s="13">
        <f>AD15+AE15</f>
        <v/>
      </c>
      <c r="AG15" s="12">
        <f>'Tüm İstasyonlar (Birleşik)'!W15</f>
        <v/>
      </c>
      <c r="AH15" s="12">
        <f>'Tüm İstasyonlar (Birleşik)'!X15</f>
        <v/>
      </c>
      <c r="AI15" s="13">
        <f>AG15+AH15</f>
        <v/>
      </c>
      <c r="AJ15" s="12">
        <f>'Tüm İstasyonlar (Birleşik)'!Y15</f>
        <v/>
      </c>
      <c r="AK15" s="12">
        <f>'Tüm İstasyonlar (Birleşik)'!Z15</f>
        <v/>
      </c>
      <c r="AL15" s="13">
        <f>AJ15+AK15</f>
        <v/>
      </c>
      <c r="AM15" s="12">
        <f>'Tüm İstasyonlar (Birleşik)'!AA15</f>
        <v/>
      </c>
      <c r="AN15" s="12">
        <f>'Tüm İstasyonlar (Birleşik)'!AB15</f>
        <v/>
      </c>
      <c r="AO15" s="13">
        <f>AM15+AN15</f>
        <v/>
      </c>
      <c r="AP15" s="12">
        <f>'Tüm İstasyonlar (Birleşik)'!AC15</f>
        <v/>
      </c>
      <c r="AQ15" s="12">
        <f>'Tüm İstasyonlar (Birleşik)'!AD15</f>
        <v/>
      </c>
      <c r="AR15" s="13">
        <f>AP15+AQ15</f>
        <v/>
      </c>
      <c r="AS15" s="13">
        <f>E15+H15+K15+N15+Q15+T15+W15+Z15+AC15+AF15+AI15+AL15+AO15+AR15</f>
        <v/>
      </c>
    </row>
    <row r="16">
      <c r="A16" s="5" t="n">
        <v>11</v>
      </c>
      <c r="B16" s="6" t="inlineStr">
        <is>
          <t>Demirdağ</t>
        </is>
      </c>
      <c r="C16" s="7">
        <f>'Tüm İstasyonlar (Birleşik)'!C16</f>
        <v/>
      </c>
      <c r="D16" s="7">
        <f>'Tüm İstasyonlar (Birleşik)'!D16</f>
        <v/>
      </c>
      <c r="E16" s="8">
        <f>C16+D16</f>
        <v/>
      </c>
      <c r="F16" s="7">
        <f>'Tüm İstasyonlar (Birleşik)'!E16</f>
        <v/>
      </c>
      <c r="G16" s="7">
        <f>'Tüm İstasyonlar (Birleşik)'!F16</f>
        <v/>
      </c>
      <c r="H16" s="8">
        <f>F16+G16</f>
        <v/>
      </c>
      <c r="I16" s="7">
        <f>'Tüm İstasyonlar (Birleşik)'!G16</f>
        <v/>
      </c>
      <c r="J16" s="7">
        <f>'Tüm İstasyonlar (Birleşik)'!H16</f>
        <v/>
      </c>
      <c r="K16" s="8">
        <f>I16+J16</f>
        <v/>
      </c>
      <c r="L16" s="7">
        <f>'Tüm İstasyonlar (Birleşik)'!I16</f>
        <v/>
      </c>
      <c r="M16" s="7">
        <f>'Tüm İstasyonlar (Birleşik)'!J16</f>
        <v/>
      </c>
      <c r="N16" s="8">
        <f>L16+M16</f>
        <v/>
      </c>
      <c r="O16" s="7">
        <f>'Tüm İstasyonlar (Birleşik)'!K16</f>
        <v/>
      </c>
      <c r="P16" s="7">
        <f>'Tüm İstasyonlar (Birleşik)'!L16</f>
        <v/>
      </c>
      <c r="Q16" s="8">
        <f>O16+P16</f>
        <v/>
      </c>
      <c r="R16" s="7">
        <f>'Tüm İstasyonlar (Birleşik)'!M16</f>
        <v/>
      </c>
      <c r="S16" s="7">
        <f>'Tüm İstasyonlar (Birleşik)'!N16</f>
        <v/>
      </c>
      <c r="T16" s="8">
        <f>R16+S16</f>
        <v/>
      </c>
      <c r="U16" s="7">
        <f>'Tüm İstasyonlar (Birleşik)'!O16</f>
        <v/>
      </c>
      <c r="V16" s="7">
        <f>'Tüm İstasyonlar (Birleşik)'!P16</f>
        <v/>
      </c>
      <c r="W16" s="8">
        <f>U16+V16</f>
        <v/>
      </c>
      <c r="X16" s="7">
        <f>'Tüm İstasyonlar (Birleşik)'!Q16</f>
        <v/>
      </c>
      <c r="Y16" s="7">
        <f>'Tüm İstasyonlar (Birleşik)'!R16</f>
        <v/>
      </c>
      <c r="Z16" s="8">
        <f>X16+Y16</f>
        <v/>
      </c>
      <c r="AA16" s="7">
        <f>'Tüm İstasyonlar (Birleşik)'!S16</f>
        <v/>
      </c>
      <c r="AB16" s="7">
        <f>'Tüm İstasyonlar (Birleşik)'!T16</f>
        <v/>
      </c>
      <c r="AC16" s="8">
        <f>AA16+AB16</f>
        <v/>
      </c>
      <c r="AD16" s="7">
        <f>'Tüm İstasyonlar (Birleşik)'!U16</f>
        <v/>
      </c>
      <c r="AE16" s="7">
        <f>'Tüm İstasyonlar (Birleşik)'!V16</f>
        <v/>
      </c>
      <c r="AF16" s="8">
        <f>AD16+AE16</f>
        <v/>
      </c>
      <c r="AG16" s="7">
        <f>'Tüm İstasyonlar (Birleşik)'!W16</f>
        <v/>
      </c>
      <c r="AH16" s="7">
        <f>'Tüm İstasyonlar (Birleşik)'!X16</f>
        <v/>
      </c>
      <c r="AI16" s="8">
        <f>AG16+AH16</f>
        <v/>
      </c>
      <c r="AJ16" s="7">
        <f>'Tüm İstasyonlar (Birleşik)'!Y16</f>
        <v/>
      </c>
      <c r="AK16" s="7">
        <f>'Tüm İstasyonlar (Birleşik)'!Z16</f>
        <v/>
      </c>
      <c r="AL16" s="8">
        <f>AJ16+AK16</f>
        <v/>
      </c>
      <c r="AM16" s="7">
        <f>'Tüm İstasyonlar (Birleşik)'!AA16</f>
        <v/>
      </c>
      <c r="AN16" s="7">
        <f>'Tüm İstasyonlar (Birleşik)'!AB16</f>
        <v/>
      </c>
      <c r="AO16" s="8">
        <f>AM16+AN16</f>
        <v/>
      </c>
      <c r="AP16" s="7">
        <f>'Tüm İstasyonlar (Birleşik)'!AC16</f>
        <v/>
      </c>
      <c r="AQ16" s="7">
        <f>'Tüm İstasyonlar (Birleşik)'!AD16</f>
        <v/>
      </c>
      <c r="AR16" s="8">
        <f>AP16+AQ16</f>
        <v/>
      </c>
      <c r="AS16" s="8">
        <f>E16+H16+K16+N16+Q16+T16+W16+Z16+AC16+AF16+AI16+AL16+AO16+AR16</f>
        <v/>
      </c>
    </row>
    <row r="17">
      <c r="A17" s="10" t="n">
        <v>12</v>
      </c>
      <c r="B17" s="11" t="inlineStr">
        <is>
          <t>Alsancak</t>
        </is>
      </c>
      <c r="C17" s="12">
        <f>'Tüm İstasyonlar (Birleşik)'!C17</f>
        <v/>
      </c>
      <c r="D17" s="12">
        <f>'Tüm İstasyonlar (Birleşik)'!D17</f>
        <v/>
      </c>
      <c r="E17" s="13">
        <f>C17+D17</f>
        <v/>
      </c>
      <c r="F17" s="12">
        <f>'Tüm İstasyonlar (Birleşik)'!E17</f>
        <v/>
      </c>
      <c r="G17" s="12">
        <f>'Tüm İstasyonlar (Birleşik)'!F17</f>
        <v/>
      </c>
      <c r="H17" s="13">
        <f>F17+G17</f>
        <v/>
      </c>
      <c r="I17" s="12">
        <f>'Tüm İstasyonlar (Birleşik)'!G17</f>
        <v/>
      </c>
      <c r="J17" s="12">
        <f>'Tüm İstasyonlar (Birleşik)'!H17</f>
        <v/>
      </c>
      <c r="K17" s="13">
        <f>I17+J17</f>
        <v/>
      </c>
      <c r="L17" s="12">
        <f>'Tüm İstasyonlar (Birleşik)'!I17</f>
        <v/>
      </c>
      <c r="M17" s="12">
        <f>'Tüm İstasyonlar (Birleşik)'!J17</f>
        <v/>
      </c>
      <c r="N17" s="13">
        <f>L17+M17</f>
        <v/>
      </c>
      <c r="O17" s="12">
        <f>'Tüm İstasyonlar (Birleşik)'!K17</f>
        <v/>
      </c>
      <c r="P17" s="12">
        <f>'Tüm İstasyonlar (Birleşik)'!L17</f>
        <v/>
      </c>
      <c r="Q17" s="13">
        <f>O17+P17</f>
        <v/>
      </c>
      <c r="R17" s="12">
        <f>'Tüm İstasyonlar (Birleşik)'!M17</f>
        <v/>
      </c>
      <c r="S17" s="12">
        <f>'Tüm İstasyonlar (Birleşik)'!N17</f>
        <v/>
      </c>
      <c r="T17" s="13">
        <f>R17+S17</f>
        <v/>
      </c>
      <c r="U17" s="12">
        <f>'Tüm İstasyonlar (Birleşik)'!O17</f>
        <v/>
      </c>
      <c r="V17" s="12">
        <f>'Tüm İstasyonlar (Birleşik)'!P17</f>
        <v/>
      </c>
      <c r="W17" s="13">
        <f>U17+V17</f>
        <v/>
      </c>
      <c r="X17" s="12">
        <f>'Tüm İstasyonlar (Birleşik)'!Q17</f>
        <v/>
      </c>
      <c r="Y17" s="12">
        <f>'Tüm İstasyonlar (Birleşik)'!R17</f>
        <v/>
      </c>
      <c r="Z17" s="13">
        <f>X17+Y17</f>
        <v/>
      </c>
      <c r="AA17" s="12">
        <f>'Tüm İstasyonlar (Birleşik)'!S17</f>
        <v/>
      </c>
      <c r="AB17" s="12">
        <f>'Tüm İstasyonlar (Birleşik)'!T17</f>
        <v/>
      </c>
      <c r="AC17" s="13">
        <f>AA17+AB17</f>
        <v/>
      </c>
      <c r="AD17" s="12">
        <f>'Tüm İstasyonlar (Birleşik)'!U17</f>
        <v/>
      </c>
      <c r="AE17" s="12">
        <f>'Tüm İstasyonlar (Birleşik)'!V17</f>
        <v/>
      </c>
      <c r="AF17" s="13">
        <f>AD17+AE17</f>
        <v/>
      </c>
      <c r="AG17" s="12">
        <f>'Tüm İstasyonlar (Birleşik)'!W17</f>
        <v/>
      </c>
      <c r="AH17" s="12">
        <f>'Tüm İstasyonlar (Birleşik)'!X17</f>
        <v/>
      </c>
      <c r="AI17" s="13">
        <f>AG17+AH17</f>
        <v/>
      </c>
      <c r="AJ17" s="12">
        <f>'Tüm İstasyonlar (Birleşik)'!Y17</f>
        <v/>
      </c>
      <c r="AK17" s="12">
        <f>'Tüm İstasyonlar (Birleşik)'!Z17</f>
        <v/>
      </c>
      <c r="AL17" s="13">
        <f>AJ17+AK17</f>
        <v/>
      </c>
      <c r="AM17" s="12">
        <f>'Tüm İstasyonlar (Birleşik)'!AA17</f>
        <v/>
      </c>
      <c r="AN17" s="12">
        <f>'Tüm İstasyonlar (Birleşik)'!AB17</f>
        <v/>
      </c>
      <c r="AO17" s="13">
        <f>AM17+AN17</f>
        <v/>
      </c>
      <c r="AP17" s="12">
        <f>'Tüm İstasyonlar (Birleşik)'!AC17</f>
        <v/>
      </c>
      <c r="AQ17" s="12">
        <f>'Tüm İstasyonlar (Birleşik)'!AD17</f>
        <v/>
      </c>
      <c r="AR17" s="13">
        <f>AP17+AQ17</f>
        <v/>
      </c>
      <c r="AS17" s="13">
        <f>E17+H17+K17+N17+Q17+T17+W17+Z17+AC17+AF17+AI17+AL17+AO17+AR17</f>
        <v/>
      </c>
    </row>
    <row r="18">
      <c r="A18" s="5" t="n">
        <v>13</v>
      </c>
      <c r="B18" s="6" t="inlineStr">
        <is>
          <t>Yeni Suveren</t>
        </is>
      </c>
      <c r="C18" s="7">
        <f>'Tüm İstasyonlar (Birleşik)'!C18</f>
        <v/>
      </c>
      <c r="D18" s="7">
        <f>'Tüm İstasyonlar (Birleşik)'!D18</f>
        <v/>
      </c>
      <c r="E18" s="8">
        <f>C18+D18</f>
        <v/>
      </c>
      <c r="F18" s="7">
        <f>'Tüm İstasyonlar (Birleşik)'!E18</f>
        <v/>
      </c>
      <c r="G18" s="7">
        <f>'Tüm İstasyonlar (Birleşik)'!F18</f>
        <v/>
      </c>
      <c r="H18" s="8">
        <f>F18+G18</f>
        <v/>
      </c>
      <c r="I18" s="7">
        <f>'Tüm İstasyonlar (Birleşik)'!G18</f>
        <v/>
      </c>
      <c r="J18" s="7">
        <f>'Tüm İstasyonlar (Birleşik)'!H18</f>
        <v/>
      </c>
      <c r="K18" s="8">
        <f>I18+J18</f>
        <v/>
      </c>
      <c r="L18" s="7">
        <f>'Tüm İstasyonlar (Birleşik)'!I18</f>
        <v/>
      </c>
      <c r="M18" s="7">
        <f>'Tüm İstasyonlar (Birleşik)'!J18</f>
        <v/>
      </c>
      <c r="N18" s="8">
        <f>L18+M18</f>
        <v/>
      </c>
      <c r="O18" s="7">
        <f>'Tüm İstasyonlar (Birleşik)'!K18</f>
        <v/>
      </c>
      <c r="P18" s="7">
        <f>'Tüm İstasyonlar (Birleşik)'!L18</f>
        <v/>
      </c>
      <c r="Q18" s="8">
        <f>O18+P18</f>
        <v/>
      </c>
      <c r="R18" s="7">
        <f>'Tüm İstasyonlar (Birleşik)'!M18</f>
        <v/>
      </c>
      <c r="S18" s="7">
        <f>'Tüm İstasyonlar (Birleşik)'!N18</f>
        <v/>
      </c>
      <c r="T18" s="8">
        <f>R18+S18</f>
        <v/>
      </c>
      <c r="U18" s="7">
        <f>'Tüm İstasyonlar (Birleşik)'!O18</f>
        <v/>
      </c>
      <c r="V18" s="7">
        <f>'Tüm İstasyonlar (Birleşik)'!P18</f>
        <v/>
      </c>
      <c r="W18" s="8">
        <f>U18+V18</f>
        <v/>
      </c>
      <c r="X18" s="7">
        <f>'Tüm İstasyonlar (Birleşik)'!Q18</f>
        <v/>
      </c>
      <c r="Y18" s="7">
        <f>'Tüm İstasyonlar (Birleşik)'!R18</f>
        <v/>
      </c>
      <c r="Z18" s="8">
        <f>X18+Y18</f>
        <v/>
      </c>
      <c r="AA18" s="7">
        <f>'Tüm İstasyonlar (Birleşik)'!S18</f>
        <v/>
      </c>
      <c r="AB18" s="7">
        <f>'Tüm İstasyonlar (Birleşik)'!T18</f>
        <v/>
      </c>
      <c r="AC18" s="8">
        <f>AA18+AB18</f>
        <v/>
      </c>
      <c r="AD18" s="7">
        <f>'Tüm İstasyonlar (Birleşik)'!U18</f>
        <v/>
      </c>
      <c r="AE18" s="7">
        <f>'Tüm İstasyonlar (Birleşik)'!V18</f>
        <v/>
      </c>
      <c r="AF18" s="8">
        <f>AD18+AE18</f>
        <v/>
      </c>
      <c r="AG18" s="7">
        <f>'Tüm İstasyonlar (Birleşik)'!W18</f>
        <v/>
      </c>
      <c r="AH18" s="7">
        <f>'Tüm İstasyonlar (Birleşik)'!X18</f>
        <v/>
      </c>
      <c r="AI18" s="8">
        <f>AG18+AH18</f>
        <v/>
      </c>
      <c r="AJ18" s="7">
        <f>'Tüm İstasyonlar (Birleşik)'!Y18</f>
        <v/>
      </c>
      <c r="AK18" s="7">
        <f>'Tüm İstasyonlar (Birleşik)'!Z18</f>
        <v/>
      </c>
      <c r="AL18" s="8">
        <f>AJ18+AK18</f>
        <v/>
      </c>
      <c r="AM18" s="7">
        <f>'Tüm İstasyonlar (Birleşik)'!AA18</f>
        <v/>
      </c>
      <c r="AN18" s="7">
        <f>'Tüm İstasyonlar (Birleşik)'!AB18</f>
        <v/>
      </c>
      <c r="AO18" s="8">
        <f>AM18+AN18</f>
        <v/>
      </c>
      <c r="AP18" s="7">
        <f>'Tüm İstasyonlar (Birleşik)'!AC18</f>
        <v/>
      </c>
      <c r="AQ18" s="7">
        <f>'Tüm İstasyonlar (Birleşik)'!AD18</f>
        <v/>
      </c>
      <c r="AR18" s="8">
        <f>AP18+AQ18</f>
        <v/>
      </c>
      <c r="AS18" s="8">
        <f>E18+H18+K18+N18+Q18+T18+W18+Z18+AC18+AF18+AI18+AL18+AO18+AR18</f>
        <v/>
      </c>
    </row>
    <row r="19">
      <c r="A19" s="10" t="n">
        <v>14</v>
      </c>
      <c r="B19" s="11" t="inlineStr">
        <is>
          <t>Değirmenözü</t>
        </is>
      </c>
      <c r="C19" s="12">
        <f>'Tüm İstasyonlar (Birleşik)'!C19</f>
        <v/>
      </c>
      <c r="D19" s="12">
        <f>'Tüm İstasyonlar (Birleşik)'!D19</f>
        <v/>
      </c>
      <c r="E19" s="13">
        <f>C19+D19</f>
        <v/>
      </c>
      <c r="F19" s="12">
        <f>'Tüm İstasyonlar (Birleşik)'!E19</f>
        <v/>
      </c>
      <c r="G19" s="12">
        <f>'Tüm İstasyonlar (Birleşik)'!F19</f>
        <v/>
      </c>
      <c r="H19" s="13">
        <f>F19+G19</f>
        <v/>
      </c>
      <c r="I19" s="12">
        <f>'Tüm İstasyonlar (Birleşik)'!G19</f>
        <v/>
      </c>
      <c r="J19" s="12">
        <f>'Tüm İstasyonlar (Birleşik)'!H19</f>
        <v/>
      </c>
      <c r="K19" s="13">
        <f>I19+J19</f>
        <v/>
      </c>
      <c r="L19" s="12">
        <f>'Tüm İstasyonlar (Birleşik)'!I19</f>
        <v/>
      </c>
      <c r="M19" s="12">
        <f>'Tüm İstasyonlar (Birleşik)'!J19</f>
        <v/>
      </c>
      <c r="N19" s="13">
        <f>L19+M19</f>
        <v/>
      </c>
      <c r="O19" s="12">
        <f>'Tüm İstasyonlar (Birleşik)'!K19</f>
        <v/>
      </c>
      <c r="P19" s="12">
        <f>'Tüm İstasyonlar (Birleşik)'!L19</f>
        <v/>
      </c>
      <c r="Q19" s="13">
        <f>O19+P19</f>
        <v/>
      </c>
      <c r="R19" s="12">
        <f>'Tüm İstasyonlar (Birleşik)'!M19</f>
        <v/>
      </c>
      <c r="S19" s="12">
        <f>'Tüm İstasyonlar (Birleşik)'!N19</f>
        <v/>
      </c>
      <c r="T19" s="13">
        <f>R19+S19</f>
        <v/>
      </c>
      <c r="U19" s="12">
        <f>'Tüm İstasyonlar (Birleşik)'!O19</f>
        <v/>
      </c>
      <c r="V19" s="12">
        <f>'Tüm İstasyonlar (Birleşik)'!P19</f>
        <v/>
      </c>
      <c r="W19" s="13">
        <f>U19+V19</f>
        <v/>
      </c>
      <c r="X19" s="12">
        <f>'Tüm İstasyonlar (Birleşik)'!Q19</f>
        <v/>
      </c>
      <c r="Y19" s="12">
        <f>'Tüm İstasyonlar (Birleşik)'!R19</f>
        <v/>
      </c>
      <c r="Z19" s="13">
        <f>X19+Y19</f>
        <v/>
      </c>
      <c r="AA19" s="12">
        <f>'Tüm İstasyonlar (Birleşik)'!S19</f>
        <v/>
      </c>
      <c r="AB19" s="12">
        <f>'Tüm İstasyonlar (Birleşik)'!T19</f>
        <v/>
      </c>
      <c r="AC19" s="13">
        <f>AA19+AB19</f>
        <v/>
      </c>
      <c r="AD19" s="12">
        <f>'Tüm İstasyonlar (Birleşik)'!U19</f>
        <v/>
      </c>
      <c r="AE19" s="12">
        <f>'Tüm İstasyonlar (Birleşik)'!V19</f>
        <v/>
      </c>
      <c r="AF19" s="13">
        <f>AD19+AE19</f>
        <v/>
      </c>
      <c r="AG19" s="12">
        <f>'Tüm İstasyonlar (Birleşik)'!W19</f>
        <v/>
      </c>
      <c r="AH19" s="12">
        <f>'Tüm İstasyonlar (Birleşik)'!X19</f>
        <v/>
      </c>
      <c r="AI19" s="13">
        <f>AG19+AH19</f>
        <v/>
      </c>
      <c r="AJ19" s="12">
        <f>'Tüm İstasyonlar (Birleşik)'!Y19</f>
        <v/>
      </c>
      <c r="AK19" s="12">
        <f>'Tüm İstasyonlar (Birleşik)'!Z19</f>
        <v/>
      </c>
      <c r="AL19" s="13">
        <f>AJ19+AK19</f>
        <v/>
      </c>
      <c r="AM19" s="12">
        <f>'Tüm İstasyonlar (Birleşik)'!AA19</f>
        <v/>
      </c>
      <c r="AN19" s="12">
        <f>'Tüm İstasyonlar (Birleşik)'!AB19</f>
        <v/>
      </c>
      <c r="AO19" s="13">
        <f>AM19+AN19</f>
        <v/>
      </c>
      <c r="AP19" s="12">
        <f>'Tüm İstasyonlar (Birleşik)'!AC19</f>
        <v/>
      </c>
      <c r="AQ19" s="12">
        <f>'Tüm İstasyonlar (Birleşik)'!AD19</f>
        <v/>
      </c>
      <c r="AR19" s="13">
        <f>AP19+AQ19</f>
        <v/>
      </c>
      <c r="AS19" s="13">
        <f>E19+H19+K19+N19+Q19+T19+W19+Z19+AC19+AF19+AI19+AL19+AO19+AR19</f>
        <v/>
      </c>
    </row>
    <row r="20">
      <c r="A20" s="5" t="n">
        <v>15</v>
      </c>
      <c r="B20" s="6" t="inlineStr">
        <is>
          <t>Mersin</t>
        </is>
      </c>
      <c r="C20" s="7">
        <f>'Tüm İstasyonlar (Birleşik)'!C20</f>
        <v/>
      </c>
      <c r="D20" s="7">
        <f>'Tüm İstasyonlar (Birleşik)'!D20</f>
        <v/>
      </c>
      <c r="E20" s="8">
        <f>C20+D20</f>
        <v/>
      </c>
      <c r="F20" s="7">
        <f>'Tüm İstasyonlar (Birleşik)'!E20</f>
        <v/>
      </c>
      <c r="G20" s="7">
        <f>'Tüm İstasyonlar (Birleşik)'!F20</f>
        <v/>
      </c>
      <c r="H20" s="8">
        <f>F20+G20</f>
        <v/>
      </c>
      <c r="I20" s="7">
        <f>'Tüm İstasyonlar (Birleşik)'!G20</f>
        <v/>
      </c>
      <c r="J20" s="7">
        <f>'Tüm İstasyonlar (Birleşik)'!H20</f>
        <v/>
      </c>
      <c r="K20" s="8">
        <f>I20+J20</f>
        <v/>
      </c>
      <c r="L20" s="7">
        <f>'Tüm İstasyonlar (Birleşik)'!I20</f>
        <v/>
      </c>
      <c r="M20" s="7">
        <f>'Tüm İstasyonlar (Birleşik)'!J20</f>
        <v/>
      </c>
      <c r="N20" s="8">
        <f>L20+M20</f>
        <v/>
      </c>
      <c r="O20" s="7">
        <f>'Tüm İstasyonlar (Birleşik)'!K20</f>
        <v/>
      </c>
      <c r="P20" s="7">
        <f>'Tüm İstasyonlar (Birleşik)'!L20</f>
        <v/>
      </c>
      <c r="Q20" s="8">
        <f>O20+P20</f>
        <v/>
      </c>
      <c r="R20" s="7">
        <f>'Tüm İstasyonlar (Birleşik)'!M20</f>
        <v/>
      </c>
      <c r="S20" s="7">
        <f>'Tüm İstasyonlar (Birleşik)'!N20</f>
        <v/>
      </c>
      <c r="T20" s="8">
        <f>R20+S20</f>
        <v/>
      </c>
      <c r="U20" s="7">
        <f>'Tüm İstasyonlar (Birleşik)'!O20</f>
        <v/>
      </c>
      <c r="V20" s="7">
        <f>'Tüm İstasyonlar (Birleşik)'!P20</f>
        <v/>
      </c>
      <c r="W20" s="8">
        <f>U20+V20</f>
        <v/>
      </c>
      <c r="X20" s="7">
        <f>'Tüm İstasyonlar (Birleşik)'!Q20</f>
        <v/>
      </c>
      <c r="Y20" s="7">
        <f>'Tüm İstasyonlar (Birleşik)'!R20</f>
        <v/>
      </c>
      <c r="Z20" s="8">
        <f>X20+Y20</f>
        <v/>
      </c>
      <c r="AA20" s="7">
        <f>'Tüm İstasyonlar (Birleşik)'!S20</f>
        <v/>
      </c>
      <c r="AB20" s="7">
        <f>'Tüm İstasyonlar (Birleşik)'!T20</f>
        <v/>
      </c>
      <c r="AC20" s="8">
        <f>AA20+AB20</f>
        <v/>
      </c>
      <c r="AD20" s="7">
        <f>'Tüm İstasyonlar (Birleşik)'!U20</f>
        <v/>
      </c>
      <c r="AE20" s="7">
        <f>'Tüm İstasyonlar (Birleşik)'!V20</f>
        <v/>
      </c>
      <c r="AF20" s="8">
        <f>AD20+AE20</f>
        <v/>
      </c>
      <c r="AG20" s="7">
        <f>'Tüm İstasyonlar (Birleşik)'!W20</f>
        <v/>
      </c>
      <c r="AH20" s="7">
        <f>'Tüm İstasyonlar (Birleşik)'!X20</f>
        <v/>
      </c>
      <c r="AI20" s="8">
        <f>AG20+AH20</f>
        <v/>
      </c>
      <c r="AJ20" s="7">
        <f>'Tüm İstasyonlar (Birleşik)'!Y20</f>
        <v/>
      </c>
      <c r="AK20" s="7">
        <f>'Tüm İstasyonlar (Birleşik)'!Z20</f>
        <v/>
      </c>
      <c r="AL20" s="8">
        <f>AJ20+AK20</f>
        <v/>
      </c>
      <c r="AM20" s="7">
        <f>'Tüm İstasyonlar (Birleşik)'!AA20</f>
        <v/>
      </c>
      <c r="AN20" s="7">
        <f>'Tüm İstasyonlar (Birleşik)'!AB20</f>
        <v/>
      </c>
      <c r="AO20" s="8">
        <f>AM20+AN20</f>
        <v/>
      </c>
      <c r="AP20" s="7">
        <f>'Tüm İstasyonlar (Birleşik)'!AC20</f>
        <v/>
      </c>
      <c r="AQ20" s="7">
        <f>'Tüm İstasyonlar (Birleşik)'!AD20</f>
        <v/>
      </c>
      <c r="AR20" s="8">
        <f>AP20+AQ20</f>
        <v/>
      </c>
      <c r="AS20" s="8">
        <f>E20+H20+K20+N20+Q20+T20+W20+Z20+AC20+AF20+AI20+AL20+AO20+AR20</f>
        <v/>
      </c>
    </row>
    <row r="21">
      <c r="A21" s="10" t="n">
        <v>16</v>
      </c>
      <c r="B21" s="11" t="inlineStr">
        <is>
          <t>Marşandiz</t>
        </is>
      </c>
      <c r="C21" s="12">
        <f>'Tüm İstasyonlar (Birleşik)'!C21</f>
        <v/>
      </c>
      <c r="D21" s="12">
        <f>'Tüm İstasyonlar (Birleşik)'!D21</f>
        <v/>
      </c>
      <c r="E21" s="13">
        <f>C21+D21</f>
        <v/>
      </c>
      <c r="F21" s="12">
        <f>'Tüm İstasyonlar (Birleşik)'!E21</f>
        <v/>
      </c>
      <c r="G21" s="12">
        <f>'Tüm İstasyonlar (Birleşik)'!F21</f>
        <v/>
      </c>
      <c r="H21" s="13">
        <f>F21+G21</f>
        <v/>
      </c>
      <c r="I21" s="12">
        <f>'Tüm İstasyonlar (Birleşik)'!G21</f>
        <v/>
      </c>
      <c r="J21" s="12">
        <f>'Tüm İstasyonlar (Birleşik)'!H21</f>
        <v/>
      </c>
      <c r="K21" s="13">
        <f>I21+J21</f>
        <v/>
      </c>
      <c r="L21" s="12">
        <f>'Tüm İstasyonlar (Birleşik)'!I21</f>
        <v/>
      </c>
      <c r="M21" s="12">
        <f>'Tüm İstasyonlar (Birleşik)'!J21</f>
        <v/>
      </c>
      <c r="N21" s="13">
        <f>L21+M21</f>
        <v/>
      </c>
      <c r="O21" s="12">
        <f>'Tüm İstasyonlar (Birleşik)'!K21</f>
        <v/>
      </c>
      <c r="P21" s="12">
        <f>'Tüm İstasyonlar (Birleşik)'!L21</f>
        <v/>
      </c>
      <c r="Q21" s="13">
        <f>O21+P21</f>
        <v/>
      </c>
      <c r="R21" s="12">
        <f>'Tüm İstasyonlar (Birleşik)'!M21</f>
        <v/>
      </c>
      <c r="S21" s="12">
        <f>'Tüm İstasyonlar (Birleşik)'!N21</f>
        <v/>
      </c>
      <c r="T21" s="13">
        <f>R21+S21</f>
        <v/>
      </c>
      <c r="U21" s="12">
        <f>'Tüm İstasyonlar (Birleşik)'!O21</f>
        <v/>
      </c>
      <c r="V21" s="12">
        <f>'Tüm İstasyonlar (Birleşik)'!P21</f>
        <v/>
      </c>
      <c r="W21" s="13">
        <f>U21+V21</f>
        <v/>
      </c>
      <c r="X21" s="12">
        <f>'Tüm İstasyonlar (Birleşik)'!Q21</f>
        <v/>
      </c>
      <c r="Y21" s="12">
        <f>'Tüm İstasyonlar (Birleşik)'!R21</f>
        <v/>
      </c>
      <c r="Z21" s="13">
        <f>X21+Y21</f>
        <v/>
      </c>
      <c r="AA21" s="12">
        <f>'Tüm İstasyonlar (Birleşik)'!S21</f>
        <v/>
      </c>
      <c r="AB21" s="12">
        <f>'Tüm İstasyonlar (Birleşik)'!T21</f>
        <v/>
      </c>
      <c r="AC21" s="13">
        <f>AA21+AB21</f>
        <v/>
      </c>
      <c r="AD21" s="12">
        <f>'Tüm İstasyonlar (Birleşik)'!U21</f>
        <v/>
      </c>
      <c r="AE21" s="12">
        <f>'Tüm İstasyonlar (Birleşik)'!V21</f>
        <v/>
      </c>
      <c r="AF21" s="13">
        <f>AD21+AE21</f>
        <v/>
      </c>
      <c r="AG21" s="12">
        <f>'Tüm İstasyonlar (Birleşik)'!W21</f>
        <v/>
      </c>
      <c r="AH21" s="12">
        <f>'Tüm İstasyonlar (Birleşik)'!X21</f>
        <v/>
      </c>
      <c r="AI21" s="13">
        <f>AG21+AH21</f>
        <v/>
      </c>
      <c r="AJ21" s="12">
        <f>'Tüm İstasyonlar (Birleşik)'!Y21</f>
        <v/>
      </c>
      <c r="AK21" s="12">
        <f>'Tüm İstasyonlar (Birleşik)'!Z21</f>
        <v/>
      </c>
      <c r="AL21" s="13">
        <f>AJ21+AK21</f>
        <v/>
      </c>
      <c r="AM21" s="12">
        <f>'Tüm İstasyonlar (Birleşik)'!AA21</f>
        <v/>
      </c>
      <c r="AN21" s="12">
        <f>'Tüm İstasyonlar (Birleşik)'!AB21</f>
        <v/>
      </c>
      <c r="AO21" s="13">
        <f>AM21+AN21</f>
        <v/>
      </c>
      <c r="AP21" s="12">
        <f>'Tüm İstasyonlar (Birleşik)'!AC21</f>
        <v/>
      </c>
      <c r="AQ21" s="12">
        <f>'Tüm İstasyonlar (Birleşik)'!AD21</f>
        <v/>
      </c>
      <c r="AR21" s="13">
        <f>AP21+AQ21</f>
        <v/>
      </c>
      <c r="AS21" s="13">
        <f>E21+H21+K21+N21+Q21+T21+W21+Z21+AC21+AF21+AI21+AL21+AO21+AR21</f>
        <v/>
      </c>
    </row>
    <row r="22">
      <c r="A22" s="5" t="n">
        <v>17</v>
      </c>
      <c r="B22" s="6" t="inlineStr">
        <is>
          <t>Muradiye</t>
        </is>
      </c>
      <c r="C22" s="7">
        <f>'Tüm İstasyonlar (Birleşik)'!C22</f>
        <v/>
      </c>
      <c r="D22" s="7">
        <f>'Tüm İstasyonlar (Birleşik)'!D22</f>
        <v/>
      </c>
      <c r="E22" s="8">
        <f>C22+D22</f>
        <v/>
      </c>
      <c r="F22" s="7">
        <f>'Tüm İstasyonlar (Birleşik)'!E22</f>
        <v/>
      </c>
      <c r="G22" s="7">
        <f>'Tüm İstasyonlar (Birleşik)'!F22</f>
        <v/>
      </c>
      <c r="H22" s="8">
        <f>F22+G22</f>
        <v/>
      </c>
      <c r="I22" s="7">
        <f>'Tüm İstasyonlar (Birleşik)'!G22</f>
        <v/>
      </c>
      <c r="J22" s="7">
        <f>'Tüm İstasyonlar (Birleşik)'!H22</f>
        <v/>
      </c>
      <c r="K22" s="8">
        <f>I22+J22</f>
        <v/>
      </c>
      <c r="L22" s="7">
        <f>'Tüm İstasyonlar (Birleşik)'!I22</f>
        <v/>
      </c>
      <c r="M22" s="7">
        <f>'Tüm İstasyonlar (Birleşik)'!J22</f>
        <v/>
      </c>
      <c r="N22" s="8">
        <f>L22+M22</f>
        <v/>
      </c>
      <c r="O22" s="7">
        <f>'Tüm İstasyonlar (Birleşik)'!K22</f>
        <v/>
      </c>
      <c r="P22" s="7">
        <f>'Tüm İstasyonlar (Birleşik)'!L22</f>
        <v/>
      </c>
      <c r="Q22" s="8">
        <f>O22+P22</f>
        <v/>
      </c>
      <c r="R22" s="7">
        <f>'Tüm İstasyonlar (Birleşik)'!M22</f>
        <v/>
      </c>
      <c r="S22" s="7">
        <f>'Tüm İstasyonlar (Birleşik)'!N22</f>
        <v/>
      </c>
      <c r="T22" s="8">
        <f>R22+S22</f>
        <v/>
      </c>
      <c r="U22" s="7">
        <f>'Tüm İstasyonlar (Birleşik)'!O22</f>
        <v/>
      </c>
      <c r="V22" s="7">
        <f>'Tüm İstasyonlar (Birleşik)'!P22</f>
        <v/>
      </c>
      <c r="W22" s="8">
        <f>U22+V22</f>
        <v/>
      </c>
      <c r="X22" s="7">
        <f>'Tüm İstasyonlar (Birleşik)'!Q22</f>
        <v/>
      </c>
      <c r="Y22" s="7">
        <f>'Tüm İstasyonlar (Birleşik)'!R22</f>
        <v/>
      </c>
      <c r="Z22" s="8">
        <f>X22+Y22</f>
        <v/>
      </c>
      <c r="AA22" s="7">
        <f>'Tüm İstasyonlar (Birleşik)'!S22</f>
        <v/>
      </c>
      <c r="AB22" s="7">
        <f>'Tüm İstasyonlar (Birleşik)'!T22</f>
        <v/>
      </c>
      <c r="AC22" s="8">
        <f>AA22+AB22</f>
        <v/>
      </c>
      <c r="AD22" s="7">
        <f>'Tüm İstasyonlar (Birleşik)'!U22</f>
        <v/>
      </c>
      <c r="AE22" s="7">
        <f>'Tüm İstasyonlar (Birleşik)'!V22</f>
        <v/>
      </c>
      <c r="AF22" s="8">
        <f>AD22+AE22</f>
        <v/>
      </c>
      <c r="AG22" s="7">
        <f>'Tüm İstasyonlar (Birleşik)'!W22</f>
        <v/>
      </c>
      <c r="AH22" s="7">
        <f>'Tüm İstasyonlar (Birleşik)'!X22</f>
        <v/>
      </c>
      <c r="AI22" s="8">
        <f>AG22+AH22</f>
        <v/>
      </c>
      <c r="AJ22" s="7">
        <f>'Tüm İstasyonlar (Birleşik)'!Y22</f>
        <v/>
      </c>
      <c r="AK22" s="7">
        <f>'Tüm İstasyonlar (Birleşik)'!Z22</f>
        <v/>
      </c>
      <c r="AL22" s="8">
        <f>AJ22+AK22</f>
        <v/>
      </c>
      <c r="AM22" s="7">
        <f>'Tüm İstasyonlar (Birleşik)'!AA22</f>
        <v/>
      </c>
      <c r="AN22" s="7">
        <f>'Tüm İstasyonlar (Birleşik)'!AB22</f>
        <v/>
      </c>
      <c r="AO22" s="8">
        <f>AM22+AN22</f>
        <v/>
      </c>
      <c r="AP22" s="7">
        <f>'Tüm İstasyonlar (Birleşik)'!AC22</f>
        <v/>
      </c>
      <c r="AQ22" s="7">
        <f>'Tüm İstasyonlar (Birleşik)'!AD22</f>
        <v/>
      </c>
      <c r="AR22" s="8">
        <f>AP22+AQ22</f>
        <v/>
      </c>
      <c r="AS22" s="8">
        <f>E22+H22+K22+N22+Q22+T22+W22+Z22+AC22+AF22+AI22+AL22+AO22+AR22</f>
        <v/>
      </c>
    </row>
    <row r="23">
      <c r="A23" s="10" t="n">
        <v>18</v>
      </c>
      <c r="B23" s="11" t="inlineStr">
        <is>
          <t>Bandırma</t>
        </is>
      </c>
      <c r="C23" s="12">
        <f>'Tüm İstasyonlar (Birleşik)'!C23</f>
        <v/>
      </c>
      <c r="D23" s="12">
        <f>'Tüm İstasyonlar (Birleşik)'!D23</f>
        <v/>
      </c>
      <c r="E23" s="13">
        <f>C23+D23</f>
        <v/>
      </c>
      <c r="F23" s="12">
        <f>'Tüm İstasyonlar (Birleşik)'!E23</f>
        <v/>
      </c>
      <c r="G23" s="12">
        <f>'Tüm İstasyonlar (Birleşik)'!F23</f>
        <v/>
      </c>
      <c r="H23" s="13">
        <f>F23+G23</f>
        <v/>
      </c>
      <c r="I23" s="12">
        <f>'Tüm İstasyonlar (Birleşik)'!G23</f>
        <v/>
      </c>
      <c r="J23" s="12">
        <f>'Tüm İstasyonlar (Birleşik)'!H23</f>
        <v/>
      </c>
      <c r="K23" s="13">
        <f>I23+J23</f>
        <v/>
      </c>
      <c r="L23" s="12">
        <f>'Tüm İstasyonlar (Birleşik)'!I23</f>
        <v/>
      </c>
      <c r="M23" s="12">
        <f>'Tüm İstasyonlar (Birleşik)'!J23</f>
        <v/>
      </c>
      <c r="N23" s="13">
        <f>L23+M23</f>
        <v/>
      </c>
      <c r="O23" s="12">
        <f>'Tüm İstasyonlar (Birleşik)'!K23</f>
        <v/>
      </c>
      <c r="P23" s="12">
        <f>'Tüm İstasyonlar (Birleşik)'!L23</f>
        <v/>
      </c>
      <c r="Q23" s="13">
        <f>O23+P23</f>
        <v/>
      </c>
      <c r="R23" s="12">
        <f>'Tüm İstasyonlar (Birleşik)'!M23</f>
        <v/>
      </c>
      <c r="S23" s="12">
        <f>'Tüm İstasyonlar (Birleşik)'!N23</f>
        <v/>
      </c>
      <c r="T23" s="13">
        <f>R23+S23</f>
        <v/>
      </c>
      <c r="U23" s="12">
        <f>'Tüm İstasyonlar (Birleşik)'!O23</f>
        <v/>
      </c>
      <c r="V23" s="12">
        <f>'Tüm İstasyonlar (Birleşik)'!P23</f>
        <v/>
      </c>
      <c r="W23" s="13">
        <f>U23+V23</f>
        <v/>
      </c>
      <c r="X23" s="12">
        <f>'Tüm İstasyonlar (Birleşik)'!Q23</f>
        <v/>
      </c>
      <c r="Y23" s="12">
        <f>'Tüm İstasyonlar (Birleşik)'!R23</f>
        <v/>
      </c>
      <c r="Z23" s="13">
        <f>X23+Y23</f>
        <v/>
      </c>
      <c r="AA23" s="12">
        <f>'Tüm İstasyonlar (Birleşik)'!S23</f>
        <v/>
      </c>
      <c r="AB23" s="12">
        <f>'Tüm İstasyonlar (Birleşik)'!T23</f>
        <v/>
      </c>
      <c r="AC23" s="13">
        <f>AA23+AB23</f>
        <v/>
      </c>
      <c r="AD23" s="12">
        <f>'Tüm İstasyonlar (Birleşik)'!U23</f>
        <v/>
      </c>
      <c r="AE23" s="12">
        <f>'Tüm İstasyonlar (Birleşik)'!V23</f>
        <v/>
      </c>
      <c r="AF23" s="13">
        <f>AD23+AE23</f>
        <v/>
      </c>
      <c r="AG23" s="12">
        <f>'Tüm İstasyonlar (Birleşik)'!W23</f>
        <v/>
      </c>
      <c r="AH23" s="12">
        <f>'Tüm İstasyonlar (Birleşik)'!X23</f>
        <v/>
      </c>
      <c r="AI23" s="13">
        <f>AG23+AH23</f>
        <v/>
      </c>
      <c r="AJ23" s="12">
        <f>'Tüm İstasyonlar (Birleşik)'!Y23</f>
        <v/>
      </c>
      <c r="AK23" s="12">
        <f>'Tüm İstasyonlar (Birleşik)'!Z23</f>
        <v/>
      </c>
      <c r="AL23" s="13">
        <f>AJ23+AK23</f>
        <v/>
      </c>
      <c r="AM23" s="12">
        <f>'Tüm İstasyonlar (Birleşik)'!AA23</f>
        <v/>
      </c>
      <c r="AN23" s="12">
        <f>'Tüm İstasyonlar (Birleşik)'!AB23</f>
        <v/>
      </c>
      <c r="AO23" s="13">
        <f>AM23+AN23</f>
        <v/>
      </c>
      <c r="AP23" s="12">
        <f>'Tüm İstasyonlar (Birleşik)'!AC23</f>
        <v/>
      </c>
      <c r="AQ23" s="12">
        <f>'Tüm İstasyonlar (Birleşik)'!AD23</f>
        <v/>
      </c>
      <c r="AR23" s="13">
        <f>AP23+AQ23</f>
        <v/>
      </c>
      <c r="AS23" s="13">
        <f>E23+H23+K23+N23+Q23+T23+W23+Z23+AC23+AF23+AI23+AL23+AO23+AR23</f>
        <v/>
      </c>
    </row>
    <row r="24">
      <c r="A24" s="5" t="n">
        <v>19</v>
      </c>
      <c r="B24" s="6" t="inlineStr">
        <is>
          <t>Halkalı</t>
        </is>
      </c>
      <c r="C24" s="7">
        <f>'Tüm İstasyonlar (Birleşik)'!C24</f>
        <v/>
      </c>
      <c r="D24" s="7">
        <f>'Tüm İstasyonlar (Birleşik)'!D24</f>
        <v/>
      </c>
      <c r="E24" s="8">
        <f>C24+D24</f>
        <v/>
      </c>
      <c r="F24" s="7">
        <f>'Tüm İstasyonlar (Birleşik)'!E24</f>
        <v/>
      </c>
      <c r="G24" s="7">
        <f>'Tüm İstasyonlar (Birleşik)'!F24</f>
        <v/>
      </c>
      <c r="H24" s="8">
        <f>F24+G24</f>
        <v/>
      </c>
      <c r="I24" s="7">
        <f>'Tüm İstasyonlar (Birleşik)'!G24</f>
        <v/>
      </c>
      <c r="J24" s="7">
        <f>'Tüm İstasyonlar (Birleşik)'!H24</f>
        <v/>
      </c>
      <c r="K24" s="8">
        <f>I24+J24</f>
        <v/>
      </c>
      <c r="L24" s="7">
        <f>'Tüm İstasyonlar (Birleşik)'!I24</f>
        <v/>
      </c>
      <c r="M24" s="7">
        <f>'Tüm İstasyonlar (Birleşik)'!J24</f>
        <v/>
      </c>
      <c r="N24" s="8">
        <f>L24+M24</f>
        <v/>
      </c>
      <c r="O24" s="7">
        <f>'Tüm İstasyonlar (Birleşik)'!K24</f>
        <v/>
      </c>
      <c r="P24" s="7">
        <f>'Tüm İstasyonlar (Birleşik)'!L24</f>
        <v/>
      </c>
      <c r="Q24" s="8">
        <f>O24+P24</f>
        <v/>
      </c>
      <c r="R24" s="7">
        <f>'Tüm İstasyonlar (Birleşik)'!M24</f>
        <v/>
      </c>
      <c r="S24" s="7">
        <f>'Tüm İstasyonlar (Birleşik)'!N24</f>
        <v/>
      </c>
      <c r="T24" s="8">
        <f>R24+S24</f>
        <v/>
      </c>
      <c r="U24" s="7">
        <f>'Tüm İstasyonlar (Birleşik)'!O24</f>
        <v/>
      </c>
      <c r="V24" s="7">
        <f>'Tüm İstasyonlar (Birleşik)'!P24</f>
        <v/>
      </c>
      <c r="W24" s="8">
        <f>U24+V24</f>
        <v/>
      </c>
      <c r="X24" s="7">
        <f>'Tüm İstasyonlar (Birleşik)'!Q24</f>
        <v/>
      </c>
      <c r="Y24" s="7">
        <f>'Tüm İstasyonlar (Birleşik)'!R24</f>
        <v/>
      </c>
      <c r="Z24" s="8">
        <f>X24+Y24</f>
        <v/>
      </c>
      <c r="AA24" s="7">
        <f>'Tüm İstasyonlar (Birleşik)'!S24</f>
        <v/>
      </c>
      <c r="AB24" s="7">
        <f>'Tüm İstasyonlar (Birleşik)'!T24</f>
        <v/>
      </c>
      <c r="AC24" s="8">
        <f>AA24+AB24</f>
        <v/>
      </c>
      <c r="AD24" s="7">
        <f>'Tüm İstasyonlar (Birleşik)'!U24</f>
        <v/>
      </c>
      <c r="AE24" s="7">
        <f>'Tüm İstasyonlar (Birleşik)'!V24</f>
        <v/>
      </c>
      <c r="AF24" s="8">
        <f>AD24+AE24</f>
        <v/>
      </c>
      <c r="AG24" s="7">
        <f>'Tüm İstasyonlar (Birleşik)'!W24</f>
        <v/>
      </c>
      <c r="AH24" s="7">
        <f>'Tüm İstasyonlar (Birleşik)'!X24</f>
        <v/>
      </c>
      <c r="AI24" s="8">
        <f>AG24+AH24</f>
        <v/>
      </c>
      <c r="AJ24" s="7">
        <f>'Tüm İstasyonlar (Birleşik)'!Y24</f>
        <v/>
      </c>
      <c r="AK24" s="7">
        <f>'Tüm İstasyonlar (Birleşik)'!Z24</f>
        <v/>
      </c>
      <c r="AL24" s="8">
        <f>AJ24+AK24</f>
        <v/>
      </c>
      <c r="AM24" s="7">
        <f>'Tüm İstasyonlar (Birleşik)'!AA24</f>
        <v/>
      </c>
      <c r="AN24" s="7">
        <f>'Tüm İstasyonlar (Birleşik)'!AB24</f>
        <v/>
      </c>
      <c r="AO24" s="8">
        <f>AM24+AN24</f>
        <v/>
      </c>
      <c r="AP24" s="7">
        <f>'Tüm İstasyonlar (Birleşik)'!AC24</f>
        <v/>
      </c>
      <c r="AQ24" s="7">
        <f>'Tüm İstasyonlar (Birleşik)'!AD24</f>
        <v/>
      </c>
      <c r="AR24" s="8">
        <f>AP24+AQ24</f>
        <v/>
      </c>
      <c r="AS24" s="8">
        <f>E24+H24+K24+N24+Q24+T24+W24+Z24+AC24+AF24+AI24+AL24+AO24+AR24</f>
        <v/>
      </c>
    </row>
    <row r="25">
      <c r="A25" s="10" t="n">
        <v>20</v>
      </c>
      <c r="B25" s="11" t="inlineStr">
        <is>
          <t>Yarımca</t>
        </is>
      </c>
      <c r="C25" s="12">
        <f>'Tüm İstasyonlar (Birleşik)'!C25</f>
        <v/>
      </c>
      <c r="D25" s="12">
        <f>'Tüm İstasyonlar (Birleşik)'!D25</f>
        <v/>
      </c>
      <c r="E25" s="13">
        <f>C25+D25</f>
        <v/>
      </c>
      <c r="F25" s="12">
        <f>'Tüm İstasyonlar (Birleşik)'!E25</f>
        <v/>
      </c>
      <c r="G25" s="12">
        <f>'Tüm İstasyonlar (Birleşik)'!F25</f>
        <v/>
      </c>
      <c r="H25" s="13">
        <f>F25+G25</f>
        <v/>
      </c>
      <c r="I25" s="12">
        <f>'Tüm İstasyonlar (Birleşik)'!G25</f>
        <v/>
      </c>
      <c r="J25" s="12">
        <f>'Tüm İstasyonlar (Birleşik)'!H25</f>
        <v/>
      </c>
      <c r="K25" s="13">
        <f>I25+J25</f>
        <v/>
      </c>
      <c r="L25" s="12">
        <f>'Tüm İstasyonlar (Birleşik)'!I25</f>
        <v/>
      </c>
      <c r="M25" s="12">
        <f>'Tüm İstasyonlar (Birleşik)'!J25</f>
        <v/>
      </c>
      <c r="N25" s="13">
        <f>L25+M25</f>
        <v/>
      </c>
      <c r="O25" s="12">
        <f>'Tüm İstasyonlar (Birleşik)'!K25</f>
        <v/>
      </c>
      <c r="P25" s="12">
        <f>'Tüm İstasyonlar (Birleşik)'!L25</f>
        <v/>
      </c>
      <c r="Q25" s="13">
        <f>O25+P25</f>
        <v/>
      </c>
      <c r="R25" s="12">
        <f>'Tüm İstasyonlar (Birleşik)'!M25</f>
        <v/>
      </c>
      <c r="S25" s="12">
        <f>'Tüm İstasyonlar (Birleşik)'!N25</f>
        <v/>
      </c>
      <c r="T25" s="13">
        <f>R25+S25</f>
        <v/>
      </c>
      <c r="U25" s="12">
        <f>'Tüm İstasyonlar (Birleşik)'!O25</f>
        <v/>
      </c>
      <c r="V25" s="12">
        <f>'Tüm İstasyonlar (Birleşik)'!P25</f>
        <v/>
      </c>
      <c r="W25" s="13">
        <f>U25+V25</f>
        <v/>
      </c>
      <c r="X25" s="12">
        <f>'Tüm İstasyonlar (Birleşik)'!Q25</f>
        <v/>
      </c>
      <c r="Y25" s="12">
        <f>'Tüm İstasyonlar (Birleşik)'!R25</f>
        <v/>
      </c>
      <c r="Z25" s="13">
        <f>X25+Y25</f>
        <v/>
      </c>
      <c r="AA25" s="12">
        <f>'Tüm İstasyonlar (Birleşik)'!S25</f>
        <v/>
      </c>
      <c r="AB25" s="12">
        <f>'Tüm İstasyonlar (Birleşik)'!T25</f>
        <v/>
      </c>
      <c r="AC25" s="13">
        <f>AA25+AB25</f>
        <v/>
      </c>
      <c r="AD25" s="12">
        <f>'Tüm İstasyonlar (Birleşik)'!U25</f>
        <v/>
      </c>
      <c r="AE25" s="12">
        <f>'Tüm İstasyonlar (Birleşik)'!V25</f>
        <v/>
      </c>
      <c r="AF25" s="13">
        <f>AD25+AE25</f>
        <v/>
      </c>
      <c r="AG25" s="12">
        <f>'Tüm İstasyonlar (Birleşik)'!W25</f>
        <v/>
      </c>
      <c r="AH25" s="12">
        <f>'Tüm İstasyonlar (Birleşik)'!X25</f>
        <v/>
      </c>
      <c r="AI25" s="13">
        <f>AG25+AH25</f>
        <v/>
      </c>
      <c r="AJ25" s="12">
        <f>'Tüm İstasyonlar (Birleşik)'!Y25</f>
        <v/>
      </c>
      <c r="AK25" s="12">
        <f>'Tüm İstasyonlar (Birleşik)'!Z25</f>
        <v/>
      </c>
      <c r="AL25" s="13">
        <f>AJ25+AK25</f>
        <v/>
      </c>
      <c r="AM25" s="12">
        <f>'Tüm İstasyonlar (Birleşik)'!AA25</f>
        <v/>
      </c>
      <c r="AN25" s="12">
        <f>'Tüm İstasyonlar (Birleşik)'!AB25</f>
        <v/>
      </c>
      <c r="AO25" s="13">
        <f>AM25+AN25</f>
        <v/>
      </c>
      <c r="AP25" s="12">
        <f>'Tüm İstasyonlar (Birleşik)'!AC25</f>
        <v/>
      </c>
      <c r="AQ25" s="12">
        <f>'Tüm İstasyonlar (Birleşik)'!AD25</f>
        <v/>
      </c>
      <c r="AR25" s="13">
        <f>AP25+AQ25</f>
        <v/>
      </c>
      <c r="AS25" s="13">
        <f>E25+H25+K25+N25+Q25+T25+W25+Z25+AC25+AF25+AI25+AL25+AO25+AR25</f>
        <v/>
      </c>
    </row>
    <row r="26">
      <c r="A26" s="15" t="n"/>
      <c r="B26" s="16" t="inlineStr">
        <is>
          <t>İLK 20 TOPLAMI</t>
        </is>
      </c>
      <c r="C26" s="17">
        <f>SUM(C6:C25)</f>
        <v/>
      </c>
      <c r="D26" s="17">
        <f>SUM(D6:D25)</f>
        <v/>
      </c>
      <c r="E26" s="17">
        <f>SUM(E6:E25)</f>
        <v/>
      </c>
      <c r="F26" s="17">
        <f>SUM(F6:F25)</f>
        <v/>
      </c>
      <c r="G26" s="17">
        <f>SUM(G6:G25)</f>
        <v/>
      </c>
      <c r="H26" s="17">
        <f>SUM(H6:H25)</f>
        <v/>
      </c>
      <c r="I26" s="17">
        <f>SUM(I6:I25)</f>
        <v/>
      </c>
      <c r="J26" s="17">
        <f>SUM(J6:J25)</f>
        <v/>
      </c>
      <c r="K26" s="17">
        <f>SUM(K6:K25)</f>
        <v/>
      </c>
      <c r="L26" s="17">
        <f>SUM(L6:L25)</f>
        <v/>
      </c>
      <c r="M26" s="17">
        <f>SUM(M6:M25)</f>
        <v/>
      </c>
      <c r="N26" s="17">
        <f>SUM(N6:N25)</f>
        <v/>
      </c>
      <c r="O26" s="17">
        <f>SUM(O6:O25)</f>
        <v/>
      </c>
      <c r="P26" s="17">
        <f>SUM(P6:P25)</f>
        <v/>
      </c>
      <c r="Q26" s="17">
        <f>SUM(Q6:Q25)</f>
        <v/>
      </c>
      <c r="R26" s="17">
        <f>SUM(R6:R25)</f>
        <v/>
      </c>
      <c r="S26" s="17">
        <f>SUM(S6:S25)</f>
        <v/>
      </c>
      <c r="T26" s="17">
        <f>SUM(T6:T25)</f>
        <v/>
      </c>
      <c r="U26" s="17">
        <f>SUM(U6:U25)</f>
        <v/>
      </c>
      <c r="V26" s="17">
        <f>SUM(V6:V25)</f>
        <v/>
      </c>
      <c r="W26" s="17">
        <f>SUM(W6:W25)</f>
        <v/>
      </c>
      <c r="X26" s="17">
        <f>SUM(X6:X25)</f>
        <v/>
      </c>
      <c r="Y26" s="17">
        <f>SUM(Y6:Y25)</f>
        <v/>
      </c>
      <c r="Z26" s="17">
        <f>SUM(Z6:Z25)</f>
        <v/>
      </c>
      <c r="AA26" s="17">
        <f>SUM(AA6:AA25)</f>
        <v/>
      </c>
      <c r="AB26" s="17">
        <f>SUM(AB6:AB25)</f>
        <v/>
      </c>
      <c r="AC26" s="17">
        <f>SUM(AC6:AC25)</f>
        <v/>
      </c>
      <c r="AD26" s="17">
        <f>SUM(AD6:AD25)</f>
        <v/>
      </c>
      <c r="AE26" s="17">
        <f>SUM(AE6:AE25)</f>
        <v/>
      </c>
      <c r="AF26" s="17">
        <f>SUM(AF6:AF25)</f>
        <v/>
      </c>
      <c r="AG26" s="17">
        <f>SUM(AG6:AG25)</f>
        <v/>
      </c>
      <c r="AH26" s="17">
        <f>SUM(AH6:AH25)</f>
        <v/>
      </c>
      <c r="AI26" s="17">
        <f>SUM(AI6:AI25)</f>
        <v/>
      </c>
      <c r="AJ26" s="17">
        <f>SUM(AJ6:AJ25)</f>
        <v/>
      </c>
      <c r="AK26" s="17">
        <f>SUM(AK6:AK25)</f>
        <v/>
      </c>
      <c r="AL26" s="17">
        <f>SUM(AL6:AL25)</f>
        <v/>
      </c>
      <c r="AM26" s="17">
        <f>SUM(AM6:AM25)</f>
        <v/>
      </c>
      <c r="AN26" s="17">
        <f>SUM(AN6:AN25)</f>
        <v/>
      </c>
      <c r="AO26" s="17">
        <f>SUM(AO6:AO25)</f>
        <v/>
      </c>
      <c r="AP26" s="17">
        <f>SUM(AP6:AP25)</f>
        <v/>
      </c>
      <c r="AQ26" s="17">
        <f>SUM(AQ6:AQ25)</f>
        <v/>
      </c>
      <c r="AR26" s="17">
        <f>SUM(AR6:AR25)</f>
        <v/>
      </c>
      <c r="AS26" s="17">
        <f>SUM(AS6:AS25)</f>
        <v/>
      </c>
    </row>
    <row r="27">
      <c r="A27" s="15" t="n"/>
      <c r="B27" s="16" t="inlineStr">
        <is>
          <t>TÜM İSTASYONLAR</t>
        </is>
      </c>
      <c r="C27" s="17">
        <f>'Tüm İstasyonlar (Birleşik)'!C357</f>
        <v/>
      </c>
      <c r="D27" s="17">
        <f>'Tüm İstasyonlar (Birleşik)'!D357</f>
        <v/>
      </c>
      <c r="E27" s="17">
        <f>C27+D27</f>
        <v/>
      </c>
      <c r="F27" s="17">
        <f>'Tüm İstasyonlar (Birleşik)'!E357</f>
        <v/>
      </c>
      <c r="G27" s="17">
        <f>'Tüm İstasyonlar (Birleşik)'!F357</f>
        <v/>
      </c>
      <c r="H27" s="17">
        <f>F27+G27</f>
        <v/>
      </c>
      <c r="I27" s="17">
        <f>'Tüm İstasyonlar (Birleşik)'!G357</f>
        <v/>
      </c>
      <c r="J27" s="17">
        <f>'Tüm İstasyonlar (Birleşik)'!H357</f>
        <v/>
      </c>
      <c r="K27" s="17">
        <f>I27+J27</f>
        <v/>
      </c>
      <c r="L27" s="17">
        <f>'Tüm İstasyonlar (Birleşik)'!I357</f>
        <v/>
      </c>
      <c r="M27" s="17">
        <f>'Tüm İstasyonlar (Birleşik)'!J357</f>
        <v/>
      </c>
      <c r="N27" s="17">
        <f>L27+M27</f>
        <v/>
      </c>
      <c r="O27" s="17">
        <f>'Tüm İstasyonlar (Birleşik)'!K357</f>
        <v/>
      </c>
      <c r="P27" s="17">
        <f>'Tüm İstasyonlar (Birleşik)'!L357</f>
        <v/>
      </c>
      <c r="Q27" s="17">
        <f>O27+P27</f>
        <v/>
      </c>
      <c r="R27" s="17">
        <f>'Tüm İstasyonlar (Birleşik)'!M357</f>
        <v/>
      </c>
      <c r="S27" s="17">
        <f>'Tüm İstasyonlar (Birleşik)'!N357</f>
        <v/>
      </c>
      <c r="T27" s="17">
        <f>R27+S27</f>
        <v/>
      </c>
      <c r="U27" s="17">
        <f>'Tüm İstasyonlar (Birleşik)'!O357</f>
        <v/>
      </c>
      <c r="V27" s="17">
        <f>'Tüm İstasyonlar (Birleşik)'!P357</f>
        <v/>
      </c>
      <c r="W27" s="17">
        <f>U27+V27</f>
        <v/>
      </c>
      <c r="X27" s="17">
        <f>'Tüm İstasyonlar (Birleşik)'!Q357</f>
        <v/>
      </c>
      <c r="Y27" s="17">
        <f>'Tüm İstasyonlar (Birleşik)'!R357</f>
        <v/>
      </c>
      <c r="Z27" s="17">
        <f>X27+Y27</f>
        <v/>
      </c>
      <c r="AA27" s="17">
        <f>'Tüm İstasyonlar (Birleşik)'!S357</f>
        <v/>
      </c>
      <c r="AB27" s="17">
        <f>'Tüm İstasyonlar (Birleşik)'!T357</f>
        <v/>
      </c>
      <c r="AC27" s="17">
        <f>AA27+AB27</f>
        <v/>
      </c>
      <c r="AD27" s="17">
        <f>'Tüm İstasyonlar (Birleşik)'!U357</f>
        <v/>
      </c>
      <c r="AE27" s="17">
        <f>'Tüm İstasyonlar (Birleşik)'!V357</f>
        <v/>
      </c>
      <c r="AF27" s="17">
        <f>AD27+AE27</f>
        <v/>
      </c>
      <c r="AG27" s="17">
        <f>'Tüm İstasyonlar (Birleşik)'!W357</f>
        <v/>
      </c>
      <c r="AH27" s="17">
        <f>'Tüm İstasyonlar (Birleşik)'!X357</f>
        <v/>
      </c>
      <c r="AI27" s="17">
        <f>AG27+AH27</f>
        <v/>
      </c>
      <c r="AJ27" s="17">
        <f>'Tüm İstasyonlar (Birleşik)'!Y357</f>
        <v/>
      </c>
      <c r="AK27" s="17">
        <f>'Tüm İstasyonlar (Birleşik)'!Z357</f>
        <v/>
      </c>
      <c r="AL27" s="17">
        <f>AJ27+AK27</f>
        <v/>
      </c>
      <c r="AM27" s="17">
        <f>'Tüm İstasyonlar (Birleşik)'!AA357</f>
        <v/>
      </c>
      <c r="AN27" s="17">
        <f>'Tüm İstasyonlar (Birleşik)'!AB357</f>
        <v/>
      </c>
      <c r="AO27" s="17">
        <f>AM27+AN27</f>
        <v/>
      </c>
      <c r="AP27" s="17">
        <f>'Tüm İstasyonlar (Birleşik)'!AC357</f>
        <v/>
      </c>
      <c r="AQ27" s="17">
        <f>'Tüm İstasyonlar (Birleşik)'!AD357</f>
        <v/>
      </c>
      <c r="AR27" s="17">
        <f>AP27+AQ27</f>
        <v/>
      </c>
      <c r="AS27" s="17">
        <f>E27+H27+K27+N27+Q27+T27+W27+Z27+AC27+AF27+AI27+AL27+AO27+AR27</f>
        <v/>
      </c>
    </row>
    <row r="28">
      <c r="B28" s="3" t="inlineStr">
        <is>
          <t>* 2026 yılı kısmi veridir.</t>
        </is>
      </c>
    </row>
  </sheetData>
  <mergeCells count="17">
    <mergeCell ref="B4:B5"/>
    <mergeCell ref="A4:A5"/>
    <mergeCell ref="O4:Q4"/>
    <mergeCell ref="AD4:AF4"/>
    <mergeCell ref="R4:T4"/>
    <mergeCell ref="AM4:AO4"/>
    <mergeCell ref="C4:E4"/>
    <mergeCell ref="U4:W4"/>
    <mergeCell ref="F4:H4"/>
    <mergeCell ref="X4:Z4"/>
    <mergeCell ref="AA4:AC4"/>
    <mergeCell ref="I4:K4"/>
    <mergeCell ref="AP4:AR4"/>
    <mergeCell ref="L4:N4"/>
    <mergeCell ref="AS4:AS5"/>
    <mergeCell ref="AG4:AI4"/>
    <mergeCell ref="AJ4:A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5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s>
  <sheetData>
    <row r="1">
      <c r="A1" s="21" t="inlineStr">
        <is>
          <t>Birleşik Ham Veri — İstasyon Bazlı Yük Taşımaları (Netton, TON)</t>
        </is>
      </c>
    </row>
    <row r="2">
      <c r="A2" s="22" t="inlineStr">
        <is>
          <t>Kaynak: 30aa1bf0-ZANALYSIS_PATTERN_NEW_3.xls (2013-2016) + fef7ddf6-ZANALYSIS_PATTERN__20260807T105517.750.xls (2017-2026)</t>
        </is>
      </c>
    </row>
    <row r="4" ht="18" customHeight="1">
      <c r="A4" s="4" t="inlineStr">
        <is>
          <t>Sıra</t>
        </is>
      </c>
      <c r="B4" s="4" t="inlineStr">
        <is>
          <t>İstasyon</t>
        </is>
      </c>
      <c r="C4" s="4" t="inlineStr">
        <is>
          <t>2013</t>
        </is>
      </c>
      <c r="D4" s="4" t="n"/>
      <c r="E4" s="4" t="inlineStr">
        <is>
          <t>2014</t>
        </is>
      </c>
      <c r="F4" s="4" t="n"/>
      <c r="G4" s="4" t="inlineStr">
        <is>
          <t>2015</t>
        </is>
      </c>
      <c r="H4" s="4" t="n"/>
      <c r="I4" s="4" t="inlineStr">
        <is>
          <t>2016</t>
        </is>
      </c>
      <c r="J4" s="4" t="n"/>
      <c r="K4" s="4" t="inlineStr">
        <is>
          <t>2017</t>
        </is>
      </c>
      <c r="L4" s="4" t="n"/>
      <c r="M4" s="4" t="inlineStr">
        <is>
          <t>2018</t>
        </is>
      </c>
      <c r="N4" s="4" t="n"/>
      <c r="O4" s="4" t="inlineStr">
        <is>
          <t>2019</t>
        </is>
      </c>
      <c r="P4" s="4" t="n"/>
      <c r="Q4" s="4" t="inlineStr">
        <is>
          <t>2020</t>
        </is>
      </c>
      <c r="R4" s="4" t="n"/>
      <c r="S4" s="4" t="inlineStr">
        <is>
          <t>2021</t>
        </is>
      </c>
      <c r="T4" s="4" t="n"/>
      <c r="U4" s="4" t="inlineStr">
        <is>
          <t>2022</t>
        </is>
      </c>
      <c r="V4" s="4" t="n"/>
      <c r="W4" s="4" t="inlineStr">
        <is>
          <t>2023</t>
        </is>
      </c>
      <c r="X4" s="4" t="n"/>
      <c r="Y4" s="4" t="inlineStr">
        <is>
          <t>2024</t>
        </is>
      </c>
      <c r="Z4" s="4" t="n"/>
      <c r="AA4" s="4" t="inlineStr">
        <is>
          <t>2025</t>
        </is>
      </c>
      <c r="AB4" s="4" t="n"/>
      <c r="AC4" s="4" t="inlineStr">
        <is>
          <t>2026</t>
        </is>
      </c>
      <c r="AD4" s="4" t="n"/>
      <c r="AE4" s="4" t="inlineStr">
        <is>
          <t>TOPLAM 2013-2026</t>
        </is>
      </c>
      <c r="AF4" s="4" t="n"/>
      <c r="AG4" s="4" t="n"/>
    </row>
    <row r="5" ht="16" customHeight="1">
      <c r="A5" s="20" t="n"/>
      <c r="B5" s="20" t="n"/>
      <c r="C5" s="20" t="inlineStr">
        <is>
          <t>Giden</t>
        </is>
      </c>
      <c r="D5" s="20" t="inlineStr">
        <is>
          <t>Gelen</t>
        </is>
      </c>
      <c r="E5" s="20" t="inlineStr">
        <is>
          <t>Giden</t>
        </is>
      </c>
      <c r="F5" s="20" t="inlineStr">
        <is>
          <t>Gelen</t>
        </is>
      </c>
      <c r="G5" s="20" t="inlineStr">
        <is>
          <t>Giden</t>
        </is>
      </c>
      <c r="H5" s="20" t="inlineStr">
        <is>
          <t>Gelen</t>
        </is>
      </c>
      <c r="I5" s="20" t="inlineStr">
        <is>
          <t>Giden</t>
        </is>
      </c>
      <c r="J5" s="20" t="inlineStr">
        <is>
          <t>Gelen</t>
        </is>
      </c>
      <c r="K5" s="20" t="inlineStr">
        <is>
          <t>Giden</t>
        </is>
      </c>
      <c r="L5" s="20" t="inlineStr">
        <is>
          <t>Gelen</t>
        </is>
      </c>
      <c r="M5" s="20" t="inlineStr">
        <is>
          <t>Giden</t>
        </is>
      </c>
      <c r="N5" s="20" t="inlineStr">
        <is>
          <t>Gelen</t>
        </is>
      </c>
      <c r="O5" s="20" t="inlineStr">
        <is>
          <t>Giden</t>
        </is>
      </c>
      <c r="P5" s="20" t="inlineStr">
        <is>
          <t>Gelen</t>
        </is>
      </c>
      <c r="Q5" s="20" t="inlineStr">
        <is>
          <t>Giden</t>
        </is>
      </c>
      <c r="R5" s="20" t="inlineStr">
        <is>
          <t>Gelen</t>
        </is>
      </c>
      <c r="S5" s="20" t="inlineStr">
        <is>
          <t>Giden</t>
        </is>
      </c>
      <c r="T5" s="20" t="inlineStr">
        <is>
          <t>Gelen</t>
        </is>
      </c>
      <c r="U5" s="20" t="inlineStr">
        <is>
          <t>Giden</t>
        </is>
      </c>
      <c r="V5" s="20" t="inlineStr">
        <is>
          <t>Gelen</t>
        </is>
      </c>
      <c r="W5" s="20" t="inlineStr">
        <is>
          <t>Giden</t>
        </is>
      </c>
      <c r="X5" s="20" t="inlineStr">
        <is>
          <t>Gelen</t>
        </is>
      </c>
      <c r="Y5" s="20" t="inlineStr">
        <is>
          <t>Giden</t>
        </is>
      </c>
      <c r="Z5" s="20" t="inlineStr">
        <is>
          <t>Gelen</t>
        </is>
      </c>
      <c r="AA5" s="20" t="inlineStr">
        <is>
          <t>Giden</t>
        </is>
      </c>
      <c r="AB5" s="20" t="inlineStr">
        <is>
          <t>Gelen</t>
        </is>
      </c>
      <c r="AC5" s="20" t="inlineStr">
        <is>
          <t>Giden</t>
        </is>
      </c>
      <c r="AD5" s="20" t="inlineStr">
        <is>
          <t>Gelen</t>
        </is>
      </c>
      <c r="AE5" s="20" t="inlineStr">
        <is>
          <t>Giden</t>
        </is>
      </c>
      <c r="AF5" s="20" t="inlineStr">
        <is>
          <t>Gelen</t>
        </is>
      </c>
      <c r="AG5" s="20" t="inlineStr">
        <is>
          <t>Genel Toplam</t>
        </is>
      </c>
    </row>
    <row r="6">
      <c r="A6" s="23" t="n">
        <v>1</v>
      </c>
      <c r="B6" s="24" t="inlineStr">
        <is>
          <t>Ülkü</t>
        </is>
      </c>
      <c r="C6" s="25" t="n">
        <v>240357.55</v>
      </c>
      <c r="D6" s="25" t="n">
        <v>3951836.95</v>
      </c>
      <c r="E6" s="25" t="n">
        <v>194368.65</v>
      </c>
      <c r="F6" s="25" t="n">
        <v>4756591.91</v>
      </c>
      <c r="G6" s="25" t="n">
        <v>212408.644</v>
      </c>
      <c r="H6" s="25" t="n">
        <v>4145151.01</v>
      </c>
      <c r="I6" s="25" t="n">
        <v>189442.87</v>
      </c>
      <c r="J6" s="25" t="n">
        <v>4197868.16</v>
      </c>
      <c r="K6" s="25" t="n">
        <v>208143.81</v>
      </c>
      <c r="L6" s="25" t="n">
        <v>4715498.36</v>
      </c>
      <c r="M6" s="25" t="n">
        <v>256703.7</v>
      </c>
      <c r="N6" s="25" t="n">
        <v>5596084.097</v>
      </c>
      <c r="O6" s="25" t="n">
        <v>191904.81</v>
      </c>
      <c r="P6" s="25" t="n">
        <v>5199413.217</v>
      </c>
      <c r="Q6" s="25" t="n">
        <v>149521.96</v>
      </c>
      <c r="R6" s="25" t="n">
        <v>5540840.253</v>
      </c>
      <c r="S6" s="25" t="n">
        <v>389750.95</v>
      </c>
      <c r="T6" s="25" t="n">
        <v>5458852.552</v>
      </c>
      <c r="U6" s="25" t="n">
        <v>319230.469</v>
      </c>
      <c r="V6" s="25" t="n">
        <v>5196059.526</v>
      </c>
      <c r="W6" s="25" t="n">
        <v>393668.097</v>
      </c>
      <c r="X6" s="25" t="n">
        <v>5290992.515</v>
      </c>
      <c r="Y6" s="25" t="n">
        <v>361664.07</v>
      </c>
      <c r="Z6" s="25" t="n">
        <v>5087678.67</v>
      </c>
      <c r="AA6" s="25" t="n">
        <v>231622.12</v>
      </c>
      <c r="AB6" s="25" t="n">
        <v>5821990.572</v>
      </c>
      <c r="AC6" s="25" t="n">
        <v>111250.06</v>
      </c>
      <c r="AD6" s="25" t="n">
        <v>3335648.676</v>
      </c>
      <c r="AE6" s="26">
        <f>SUM(C6,E6,G6,I6,K6,M6,O6,Q6,S6,U6,W6,Y6,AA6,AC6)</f>
        <v/>
      </c>
      <c r="AF6" s="26">
        <f>SUM(D6,F6,H6,J6,L6,N6,P6,R6,T6,V6,X6,Z6,AB6,AD6)</f>
        <v/>
      </c>
      <c r="AG6" s="26">
        <f>AE6+AF6</f>
        <v/>
      </c>
    </row>
    <row r="7">
      <c r="A7" s="23" t="n">
        <v>2</v>
      </c>
      <c r="B7" s="24" t="inlineStr">
        <is>
          <t>Payas</t>
        </is>
      </c>
      <c r="C7" s="25" t="n">
        <v>898252.9</v>
      </c>
      <c r="D7" s="25" t="n">
        <v>4530528.69</v>
      </c>
      <c r="E7" s="25" t="n">
        <v>1117035.034</v>
      </c>
      <c r="F7" s="25" t="n">
        <v>5066562.256</v>
      </c>
      <c r="G7" s="25" t="n">
        <v>812272.873</v>
      </c>
      <c r="H7" s="25" t="n">
        <v>4289178.279</v>
      </c>
      <c r="I7" s="25" t="n">
        <v>704230.475</v>
      </c>
      <c r="J7" s="25" t="n">
        <v>3871782.522</v>
      </c>
      <c r="K7" s="25" t="n">
        <v>838860.694</v>
      </c>
      <c r="L7" s="25" t="n">
        <v>4363848.536</v>
      </c>
      <c r="M7" s="25" t="n">
        <v>894522.471</v>
      </c>
      <c r="N7" s="25" t="n">
        <v>2587012.081</v>
      </c>
      <c r="O7" s="25" t="n">
        <v>665759.464</v>
      </c>
      <c r="P7" s="25" t="n">
        <v>2757227.618</v>
      </c>
      <c r="Q7" s="25" t="n">
        <v>690434.769</v>
      </c>
      <c r="R7" s="25" t="n">
        <v>2994430.929</v>
      </c>
      <c r="S7" s="25" t="n">
        <v>698359.177</v>
      </c>
      <c r="T7" s="25" t="n">
        <v>3510535.616</v>
      </c>
      <c r="U7" s="25" t="n">
        <v>291579.86</v>
      </c>
      <c r="V7" s="25" t="n">
        <v>1817966.252</v>
      </c>
      <c r="W7" s="25" t="n">
        <v>122705.623</v>
      </c>
      <c r="X7" s="25" t="n">
        <v>945244.096</v>
      </c>
      <c r="Y7" s="25" t="n">
        <v>156646.963</v>
      </c>
      <c r="Z7" s="25" t="n">
        <v>2572507.175</v>
      </c>
      <c r="AA7" s="25" t="n">
        <v>117224.292</v>
      </c>
      <c r="AB7" s="25" t="n">
        <v>1895128.535</v>
      </c>
      <c r="AC7" s="25" t="n">
        <v>56598.678</v>
      </c>
      <c r="AD7" s="25" t="n">
        <v>406459.863</v>
      </c>
      <c r="AE7" s="26">
        <f>SUM(C7,E7,G7,I7,K7,M7,O7,Q7,S7,U7,W7,Y7,AA7,AC7)</f>
        <v/>
      </c>
      <c r="AF7" s="26">
        <f>SUM(D7,F7,H7,J7,L7,N7,P7,R7,T7,V7,X7,Z7,AB7,AD7)</f>
        <v/>
      </c>
      <c r="AG7" s="26">
        <f>AE7+AF7</f>
        <v/>
      </c>
    </row>
    <row r="8">
      <c r="A8" s="23" t="n">
        <v>3</v>
      </c>
      <c r="B8" s="24" t="inlineStr">
        <is>
          <t>Çatalağzı</t>
        </is>
      </c>
      <c r="C8" s="25" t="n">
        <v>1255840.29</v>
      </c>
      <c r="D8" s="25" t="n">
        <v>17677.23</v>
      </c>
      <c r="E8" s="25" t="n">
        <v>1567461.75</v>
      </c>
      <c r="F8" s="25" t="n">
        <v>39969.603</v>
      </c>
      <c r="G8" s="25" t="n">
        <v>1356803.26</v>
      </c>
      <c r="H8" s="25" t="n">
        <v>2985.969</v>
      </c>
      <c r="I8" s="25" t="n">
        <v>1283881.555</v>
      </c>
      <c r="J8" s="25" t="n">
        <v>2264.6</v>
      </c>
      <c r="K8" s="25" t="n">
        <v>1536058.709</v>
      </c>
      <c r="L8" s="25" t="n">
        <v>2267.826</v>
      </c>
      <c r="M8" s="25" t="n">
        <v>2238834.25</v>
      </c>
      <c r="N8" s="25" t="n">
        <v>3266.605</v>
      </c>
      <c r="O8" s="25" t="n">
        <v>2190169.51</v>
      </c>
      <c r="P8" s="25" t="n">
        <v>59495.556</v>
      </c>
      <c r="Q8" s="25" t="n">
        <v>2138850.625</v>
      </c>
      <c r="R8" s="25" t="n">
        <v>3384.669</v>
      </c>
      <c r="S8" s="25" t="n">
        <v>2532357.682</v>
      </c>
      <c r="T8" s="25" t="n">
        <v>5395.97</v>
      </c>
      <c r="U8" s="25" t="n">
        <v>2586150.262</v>
      </c>
      <c r="V8" s="25" t="n">
        <v>77690.94100000001</v>
      </c>
      <c r="W8" s="25" t="n">
        <v>2477432.114</v>
      </c>
      <c r="X8" s="25" t="n">
        <v>318594.804</v>
      </c>
      <c r="Y8" s="25" t="n">
        <v>2278798.373</v>
      </c>
      <c r="Z8" s="25" t="n">
        <v>295679.675</v>
      </c>
      <c r="AA8" s="25" t="n">
        <v>2963797.654</v>
      </c>
      <c r="AB8" s="25" t="n">
        <v>131279.904</v>
      </c>
      <c r="AC8" s="25" t="n">
        <v>1839210.217</v>
      </c>
      <c r="AD8" s="25" t="n">
        <v>66100.981</v>
      </c>
      <c r="AE8" s="26">
        <f>SUM(C8,E8,G8,I8,K8,M8,O8,Q8,S8,U8,W8,Y8,AA8,AC8)</f>
        <v/>
      </c>
      <c r="AF8" s="26">
        <f>SUM(D8,F8,H8,J8,L8,N8,P8,R8,T8,V8,X8,Z8,AB8,AD8)</f>
        <v/>
      </c>
      <c r="AG8" s="26">
        <f>AE8+AF8</f>
        <v/>
      </c>
    </row>
    <row r="9">
      <c r="A9" s="23" t="n">
        <v>4</v>
      </c>
      <c r="B9" s="24" t="inlineStr">
        <is>
          <t>Hekimhan</t>
        </is>
      </c>
      <c r="C9" s="25" t="n">
        <v>1159788.44</v>
      </c>
      <c r="D9" s="25" t="n">
        <v>192056.11</v>
      </c>
      <c r="E9" s="25" t="n">
        <v>1484277.17</v>
      </c>
      <c r="F9" s="25" t="n">
        <v>259281.4</v>
      </c>
      <c r="G9" s="25" t="n">
        <v>1095078.72</v>
      </c>
      <c r="H9" s="25" t="n">
        <v>162782.3</v>
      </c>
      <c r="I9" s="25" t="n">
        <v>748749.3199999999</v>
      </c>
      <c r="J9" s="25" t="n">
        <v>99909.8</v>
      </c>
      <c r="K9" s="25" t="n">
        <v>1043891.31</v>
      </c>
      <c r="L9" s="25" t="n">
        <v>151954.9</v>
      </c>
      <c r="M9" s="25" t="n">
        <v>1305230.43</v>
      </c>
      <c r="N9" s="25" t="n">
        <v>194178.965</v>
      </c>
      <c r="O9" s="25" t="n">
        <v>1207369.335</v>
      </c>
      <c r="P9" s="25" t="n">
        <v>109147.935</v>
      </c>
      <c r="Q9" s="25" t="n">
        <v>1754967.84</v>
      </c>
      <c r="R9" s="25" t="n">
        <v>122313.335</v>
      </c>
      <c r="S9" s="25" t="n">
        <v>1962548.94</v>
      </c>
      <c r="T9" s="25" t="n">
        <v>128092.565</v>
      </c>
      <c r="U9" s="25" t="n">
        <v>1653487.14</v>
      </c>
      <c r="V9" s="25" t="n">
        <v>86428.125</v>
      </c>
      <c r="W9" s="25" t="n">
        <v>1194318.2</v>
      </c>
      <c r="X9" s="25" t="n">
        <v>82678.30499999999</v>
      </c>
      <c r="Y9" s="25" t="n">
        <v>1670455.715</v>
      </c>
      <c r="Z9" s="25" t="n">
        <v>122983.745</v>
      </c>
      <c r="AA9" s="25" t="n">
        <v>1614638.73</v>
      </c>
      <c r="AB9" s="25" t="n">
        <v>115645.585</v>
      </c>
      <c r="AC9" s="25" t="n">
        <v>1106116.48</v>
      </c>
      <c r="AD9" s="25" t="n">
        <v>44076</v>
      </c>
      <c r="AE9" s="26">
        <f>SUM(C9,E9,G9,I9,K9,M9,O9,Q9,S9,U9,W9,Y9,AA9,AC9)</f>
        <v/>
      </c>
      <c r="AF9" s="26">
        <f>SUM(D9,F9,H9,J9,L9,N9,P9,R9,T9,V9,X9,Z9,AB9,AD9)</f>
        <v/>
      </c>
      <c r="AG9" s="26">
        <f>AE9+AF9</f>
        <v/>
      </c>
    </row>
    <row r="10">
      <c r="A10" s="23" t="n">
        <v>5</v>
      </c>
      <c r="B10" s="24" t="inlineStr">
        <is>
          <t>Yenice</t>
        </is>
      </c>
      <c r="C10" s="25" t="n">
        <v>101213.079</v>
      </c>
      <c r="D10" s="25" t="n">
        <v>445271.547</v>
      </c>
      <c r="E10" s="25" t="n">
        <v>190290.401</v>
      </c>
      <c r="F10" s="25" t="n">
        <v>664184.1</v>
      </c>
      <c r="G10" s="25" t="n">
        <v>153365.735</v>
      </c>
      <c r="H10" s="25" t="n">
        <v>634946.3320000001</v>
      </c>
      <c r="I10" s="25" t="n">
        <v>155469.965</v>
      </c>
      <c r="J10" s="25" t="n">
        <v>680719.757</v>
      </c>
      <c r="K10" s="25" t="n">
        <v>297818.282</v>
      </c>
      <c r="L10" s="25" t="n">
        <v>1044990.008</v>
      </c>
      <c r="M10" s="25" t="n">
        <v>377967.466</v>
      </c>
      <c r="N10" s="25" t="n">
        <v>945747.437</v>
      </c>
      <c r="O10" s="25" t="n">
        <v>325531.183</v>
      </c>
      <c r="P10" s="25" t="n">
        <v>882413.2340000001</v>
      </c>
      <c r="Q10" s="25" t="n">
        <v>348192.058</v>
      </c>
      <c r="R10" s="25" t="n">
        <v>910251.3050000001</v>
      </c>
      <c r="S10" s="25" t="n">
        <v>237688.785</v>
      </c>
      <c r="T10" s="25" t="n">
        <v>1013127.097</v>
      </c>
      <c r="U10" s="25" t="n">
        <v>247221.216</v>
      </c>
      <c r="V10" s="25" t="n">
        <v>845348.118</v>
      </c>
      <c r="W10" s="25" t="n">
        <v>735527.427</v>
      </c>
      <c r="X10" s="25" t="n">
        <v>1179780.245</v>
      </c>
      <c r="Y10" s="25" t="n">
        <v>1686359.878</v>
      </c>
      <c r="Z10" s="25" t="n">
        <v>993396.042</v>
      </c>
      <c r="AA10" s="25" t="n">
        <v>1461341.6</v>
      </c>
      <c r="AB10" s="25" t="n">
        <v>1393968.713</v>
      </c>
      <c r="AC10" s="25" t="n">
        <v>406270.698</v>
      </c>
      <c r="AD10" s="25" t="n">
        <v>766402.938</v>
      </c>
      <c r="AE10" s="26">
        <f>SUM(C10,E10,G10,I10,K10,M10,O10,Q10,S10,U10,W10,Y10,AA10,AC10)</f>
        <v/>
      </c>
      <c r="AF10" s="26">
        <f>SUM(D10,F10,H10,J10,L10,N10,P10,R10,T10,V10,X10,Z10,AB10,AD10)</f>
        <v/>
      </c>
      <c r="AG10" s="26">
        <f>AE10+AF10</f>
        <v/>
      </c>
    </row>
    <row r="11">
      <c r="A11" s="23" t="n">
        <v>6</v>
      </c>
      <c r="B11" s="24" t="inlineStr">
        <is>
          <t>Yahşihan</t>
        </is>
      </c>
      <c r="C11" s="25" t="n">
        <v>860116.7</v>
      </c>
      <c r="D11" s="25" t="n">
        <v>242731.285</v>
      </c>
      <c r="E11" s="25" t="n">
        <v>844957.351</v>
      </c>
      <c r="F11" s="25" t="n">
        <v>263167.867</v>
      </c>
      <c r="G11" s="25" t="n">
        <v>1359959.883</v>
      </c>
      <c r="H11" s="25" t="n">
        <v>650490.227</v>
      </c>
      <c r="I11" s="25" t="n">
        <v>1626818.575</v>
      </c>
      <c r="J11" s="25" t="n">
        <v>744262.932</v>
      </c>
      <c r="K11" s="25" t="n">
        <v>1736179.271</v>
      </c>
      <c r="L11" s="25" t="n">
        <v>735965.219</v>
      </c>
      <c r="M11" s="25" t="n">
        <v>1367673.327</v>
      </c>
      <c r="N11" s="25" t="n">
        <v>728725.917</v>
      </c>
      <c r="O11" s="25" t="n">
        <v>1311417.94</v>
      </c>
      <c r="P11" s="25" t="n">
        <v>507740.405</v>
      </c>
      <c r="Q11" s="25" t="n">
        <v>819334.205</v>
      </c>
      <c r="R11" s="25" t="n">
        <v>276704.476</v>
      </c>
      <c r="S11" s="25" t="n">
        <v>676785.434</v>
      </c>
      <c r="T11" s="25" t="n">
        <v>325812.461</v>
      </c>
      <c r="U11" s="25" t="n">
        <v>507294.13</v>
      </c>
      <c r="V11" s="25" t="n">
        <v>177706.007</v>
      </c>
      <c r="W11" s="25" t="n">
        <v>593623.777</v>
      </c>
      <c r="X11" s="25" t="n">
        <v>214717.572</v>
      </c>
      <c r="Y11" s="25" t="n">
        <v>641226.279</v>
      </c>
      <c r="Z11" s="25" t="n">
        <v>217701.655</v>
      </c>
      <c r="AA11" s="25" t="n">
        <v>689856.5159999999</v>
      </c>
      <c r="AB11" s="25" t="n">
        <v>222452.427</v>
      </c>
      <c r="AC11" s="25" t="n">
        <v>414901.77</v>
      </c>
      <c r="AD11" s="25" t="n">
        <v>123511.28</v>
      </c>
      <c r="AE11" s="26">
        <f>SUM(C11,E11,G11,I11,K11,M11,O11,Q11,S11,U11,W11,Y11,AA11,AC11)</f>
        <v/>
      </c>
      <c r="AF11" s="26">
        <f>SUM(D11,F11,H11,J11,L11,N11,P11,R11,T11,V11,X11,Z11,AB11,AD11)</f>
        <v/>
      </c>
      <c r="AG11" s="26">
        <f>AE11+AF11</f>
        <v/>
      </c>
    </row>
    <row r="12">
      <c r="A12" s="23" t="n">
        <v>7</v>
      </c>
      <c r="B12" s="24" t="inlineStr">
        <is>
          <t>Biçerova</t>
        </is>
      </c>
      <c r="C12" s="25" t="n">
        <v>541698.103</v>
      </c>
      <c r="D12" s="25" t="n">
        <v>216408.825</v>
      </c>
      <c r="E12" s="25" t="n">
        <v>308869.823</v>
      </c>
      <c r="F12" s="25" t="n">
        <v>212683.527</v>
      </c>
      <c r="G12" s="25" t="n">
        <v>269286.216</v>
      </c>
      <c r="H12" s="25" t="n">
        <v>221998.991</v>
      </c>
      <c r="I12" s="25" t="n">
        <v>405030.91</v>
      </c>
      <c r="J12" s="25" t="n">
        <v>374067.438</v>
      </c>
      <c r="K12" s="25" t="n">
        <v>458607.059</v>
      </c>
      <c r="L12" s="25" t="n">
        <v>319928.574</v>
      </c>
      <c r="M12" s="25" t="n">
        <v>475088.949</v>
      </c>
      <c r="N12" s="25" t="n">
        <v>424128.116</v>
      </c>
      <c r="O12" s="25" t="n">
        <v>531351.558</v>
      </c>
      <c r="P12" s="25" t="n">
        <v>1006492.916</v>
      </c>
      <c r="Q12" s="25" t="n">
        <v>831712.52</v>
      </c>
      <c r="R12" s="25" t="n">
        <v>1364216.181</v>
      </c>
      <c r="S12" s="25" t="n">
        <v>764789.9889999999</v>
      </c>
      <c r="T12" s="25" t="n">
        <v>1483635.342</v>
      </c>
      <c r="U12" s="25" t="n">
        <v>883483.89</v>
      </c>
      <c r="V12" s="25" t="n">
        <v>1425437.03</v>
      </c>
      <c r="W12" s="25" t="n">
        <v>713263.937</v>
      </c>
      <c r="X12" s="25" t="n">
        <v>1107491.301</v>
      </c>
      <c r="Y12" s="25" t="n">
        <v>598266.5060000001</v>
      </c>
      <c r="Z12" s="25" t="n">
        <v>952660.071</v>
      </c>
      <c r="AA12" s="25" t="n">
        <v>565041.671</v>
      </c>
      <c r="AB12" s="25" t="n">
        <v>953698.067</v>
      </c>
      <c r="AC12" s="25" t="n">
        <v>339648.702</v>
      </c>
      <c r="AD12" s="25" t="n">
        <v>587986.478</v>
      </c>
      <c r="AE12" s="26">
        <f>SUM(C12,E12,G12,I12,K12,M12,O12,Q12,S12,U12,W12,Y12,AA12,AC12)</f>
        <v/>
      </c>
      <c r="AF12" s="26">
        <f>SUM(D12,F12,H12,J12,L12,N12,P12,R12,T12,V12,X12,Z12,AB12,AD12)</f>
        <v/>
      </c>
      <c r="AG12" s="26">
        <f>AE12+AF12</f>
        <v/>
      </c>
    </row>
    <row r="13">
      <c r="A13" s="23" t="n">
        <v>8</v>
      </c>
      <c r="B13" s="24" t="inlineStr">
        <is>
          <t>Zonguldak</t>
        </is>
      </c>
      <c r="C13" s="25" t="n">
        <v>1174094.51</v>
      </c>
      <c r="D13" s="25" t="n">
        <v>88457.5</v>
      </c>
      <c r="E13" s="25" t="n">
        <v>1246106.49</v>
      </c>
      <c r="F13" s="25" t="n">
        <v>38278.65</v>
      </c>
      <c r="G13" s="25" t="n">
        <v>1494472.54</v>
      </c>
      <c r="H13" s="25" t="n">
        <v>65056.31</v>
      </c>
      <c r="I13" s="25" t="n">
        <v>1139976.405</v>
      </c>
      <c r="J13" s="25" t="n">
        <v>74444.7</v>
      </c>
      <c r="K13" s="25" t="n">
        <v>1432412.265</v>
      </c>
      <c r="L13" s="25" t="n">
        <v>93462.38</v>
      </c>
      <c r="M13" s="25" t="n">
        <v>1334857.615</v>
      </c>
      <c r="N13" s="25" t="n">
        <v>74140.39</v>
      </c>
      <c r="O13" s="25" t="n">
        <v>1194452.185</v>
      </c>
      <c r="P13" s="25" t="n">
        <v>43076.77</v>
      </c>
      <c r="Q13" s="25" t="n">
        <v>1258337.827</v>
      </c>
      <c r="R13" s="25" t="n">
        <v>40764.78</v>
      </c>
      <c r="S13" s="25" t="n">
        <v>1229860.106</v>
      </c>
      <c r="T13" s="25" t="n">
        <v>330851.45</v>
      </c>
      <c r="U13" s="25" t="n">
        <v>1150424.565</v>
      </c>
      <c r="V13" s="25" t="n">
        <v>208800.74</v>
      </c>
      <c r="W13" s="25" t="n">
        <v>1131497.171</v>
      </c>
      <c r="X13" s="25" t="n">
        <v>55266.621</v>
      </c>
      <c r="Y13" s="25" t="n">
        <v>1143187.8</v>
      </c>
      <c r="Z13" s="25" t="n">
        <v>31317.85</v>
      </c>
      <c r="AA13" s="25" t="n">
        <v>867389.925</v>
      </c>
      <c r="AB13" s="25" t="n">
        <v>35986.92</v>
      </c>
      <c r="AC13" s="25" t="n">
        <v>288190.92</v>
      </c>
      <c r="AD13" s="25" t="n">
        <v>7868.75</v>
      </c>
      <c r="AE13" s="26">
        <f>SUM(C13,E13,G13,I13,K13,M13,O13,Q13,S13,U13,W13,Y13,AA13,AC13)</f>
        <v/>
      </c>
      <c r="AF13" s="26">
        <f>SUM(D13,F13,H13,J13,L13,N13,P13,R13,T13,V13,X13,Z13,AB13,AD13)</f>
        <v/>
      </c>
      <c r="AG13" s="26">
        <f>AE13+AF13</f>
        <v/>
      </c>
    </row>
    <row r="14">
      <c r="A14" s="23" t="n">
        <v>9</v>
      </c>
      <c r="B14" s="24" t="inlineStr">
        <is>
          <t>Yeşilhisar</t>
        </is>
      </c>
      <c r="C14" s="25" t="n">
        <v>1549250.16</v>
      </c>
      <c r="D14" s="25" t="n">
        <v>1494.104</v>
      </c>
      <c r="E14" s="25" t="n">
        <v>1586392.3</v>
      </c>
      <c r="F14" s="25" t="n">
        <v>5295</v>
      </c>
      <c r="G14" s="25" t="n">
        <v>1354692.189</v>
      </c>
      <c r="H14" s="25" t="n">
        <v>1703</v>
      </c>
      <c r="I14" s="25" t="n">
        <v>1256232.897</v>
      </c>
      <c r="J14" s="25" t="n">
        <v>1388.41</v>
      </c>
      <c r="K14" s="25" t="n">
        <v>1446851.195</v>
      </c>
      <c r="L14" s="25" t="n">
        <v>931.73</v>
      </c>
      <c r="M14" s="25" t="n">
        <v>1533094.192</v>
      </c>
      <c r="N14" s="25" t="n">
        <v>1347</v>
      </c>
      <c r="O14" s="25" t="n">
        <v>1375528.02</v>
      </c>
      <c r="P14" s="25" t="n">
        <v>699.2</v>
      </c>
      <c r="Q14" s="25" t="n">
        <v>1174303.805</v>
      </c>
      <c r="R14" s="25" t="n">
        <v>744</v>
      </c>
      <c r="S14" s="25" t="n">
        <v>960240.056</v>
      </c>
      <c r="T14" s="25" t="n">
        <v>200.985</v>
      </c>
      <c r="U14" s="25" t="n">
        <v>1020923.501</v>
      </c>
      <c r="V14" s="25" t="n">
        <v>298.2</v>
      </c>
      <c r="W14" s="25" t="n">
        <v>808114.58</v>
      </c>
      <c r="X14" s="25" t="n">
        <v>84.12</v>
      </c>
      <c r="Y14" s="25" t="n">
        <v>974550.26</v>
      </c>
      <c r="Z14" s="25" t="n">
        <v>34.74</v>
      </c>
      <c r="AA14" s="25" t="n">
        <v>898307.7</v>
      </c>
      <c r="AB14" s="25" t="n">
        <v>39</v>
      </c>
      <c r="AC14" s="25" t="n">
        <v>290862.1</v>
      </c>
      <c r="AD14" s="25" t="n">
        <v>1959.74</v>
      </c>
      <c r="AE14" s="26">
        <f>SUM(C14,E14,G14,I14,K14,M14,O14,Q14,S14,U14,W14,Y14,AA14,AC14)</f>
        <v/>
      </c>
      <c r="AF14" s="26">
        <f>SUM(D14,F14,H14,J14,L14,N14,P14,R14,T14,V14,X14,Z14,AB14,AD14)</f>
        <v/>
      </c>
      <c r="AG14" s="26">
        <f>AE14+AF14</f>
        <v/>
      </c>
    </row>
    <row r="15">
      <c r="A15" s="23" t="n">
        <v>10</v>
      </c>
      <c r="B15" s="24" t="inlineStr">
        <is>
          <t>Boğazköprü</t>
        </is>
      </c>
      <c r="C15" s="25" t="n">
        <v>376249.488</v>
      </c>
      <c r="D15" s="25" t="n">
        <v>645202.42</v>
      </c>
      <c r="E15" s="25" t="n">
        <v>360474.979</v>
      </c>
      <c r="F15" s="25" t="n">
        <v>729665.438</v>
      </c>
      <c r="G15" s="25" t="n">
        <v>295629.889</v>
      </c>
      <c r="H15" s="25" t="n">
        <v>617375.8590000001</v>
      </c>
      <c r="I15" s="25" t="n">
        <v>297842.421</v>
      </c>
      <c r="J15" s="25" t="n">
        <v>475647.667</v>
      </c>
      <c r="K15" s="25" t="n">
        <v>407777.547</v>
      </c>
      <c r="L15" s="25" t="n">
        <v>559975.746</v>
      </c>
      <c r="M15" s="25" t="n">
        <v>448288.504</v>
      </c>
      <c r="N15" s="25" t="n">
        <v>606941.679</v>
      </c>
      <c r="O15" s="25" t="n">
        <v>432931.174</v>
      </c>
      <c r="P15" s="25" t="n">
        <v>627312.037</v>
      </c>
      <c r="Q15" s="25" t="n">
        <v>349456.911</v>
      </c>
      <c r="R15" s="25" t="n">
        <v>501196.512</v>
      </c>
      <c r="S15" s="25" t="n">
        <v>349955.329</v>
      </c>
      <c r="T15" s="25" t="n">
        <v>573576.941</v>
      </c>
      <c r="U15" s="25" t="n">
        <v>393286.483</v>
      </c>
      <c r="V15" s="25" t="n">
        <v>632153.847</v>
      </c>
      <c r="W15" s="25" t="n">
        <v>441157.243</v>
      </c>
      <c r="X15" s="25" t="n">
        <v>760240.1360000001</v>
      </c>
      <c r="Y15" s="25" t="n">
        <v>360142.214</v>
      </c>
      <c r="Z15" s="25" t="n">
        <v>719831.873</v>
      </c>
      <c r="AA15" s="25" t="n">
        <v>371633.713</v>
      </c>
      <c r="AB15" s="25" t="n">
        <v>713716.882</v>
      </c>
      <c r="AC15" s="25" t="n">
        <v>210131.163</v>
      </c>
      <c r="AD15" s="25" t="n">
        <v>438961.64</v>
      </c>
      <c r="AE15" s="26">
        <f>SUM(C15,E15,G15,I15,K15,M15,O15,Q15,S15,U15,W15,Y15,AA15,AC15)</f>
        <v/>
      </c>
      <c r="AF15" s="26">
        <f>SUM(D15,F15,H15,J15,L15,N15,P15,R15,T15,V15,X15,Z15,AB15,AD15)</f>
        <v/>
      </c>
      <c r="AG15" s="26">
        <f>AE15+AF15</f>
        <v/>
      </c>
    </row>
    <row r="16">
      <c r="A16" s="23" t="n">
        <v>11</v>
      </c>
      <c r="B16" s="24" t="inlineStr">
        <is>
          <t>Demirdağ</t>
        </is>
      </c>
      <c r="C16" s="25" t="n">
        <v>2307578.3</v>
      </c>
      <c r="D16" s="25" t="n">
        <v>20616</v>
      </c>
      <c r="E16" s="25" t="n">
        <v>2756195.896</v>
      </c>
      <c r="F16" s="25" t="n">
        <v>37943.75</v>
      </c>
      <c r="G16" s="25" t="n">
        <v>2294734.675</v>
      </c>
      <c r="H16" s="25" t="n">
        <v>21426.95</v>
      </c>
      <c r="I16" s="25" t="n">
        <v>2170647.565</v>
      </c>
      <c r="J16" s="25" t="n">
        <v>14520.65</v>
      </c>
      <c r="K16" s="25" t="n">
        <v>1992975.9</v>
      </c>
      <c r="L16" s="25" t="n">
        <v>16696.55</v>
      </c>
      <c r="M16" s="25" t="n">
        <v>71087.25</v>
      </c>
      <c r="N16" s="25" t="n">
        <v>10600.2</v>
      </c>
      <c r="O16" s="25" t="n">
        <v>107026.435</v>
      </c>
      <c r="P16" s="25" t="n">
        <v>328.99</v>
      </c>
      <c r="Q16" s="25" t="n">
        <v>213141.48</v>
      </c>
      <c r="R16" s="25" t="n">
        <v>98394.925</v>
      </c>
      <c r="S16" s="25" t="n">
        <v>258459.865</v>
      </c>
      <c r="T16" s="25" t="n">
        <v>351941.825</v>
      </c>
      <c r="U16" s="25" t="n">
        <v>326908.235</v>
      </c>
      <c r="V16" s="25" t="n">
        <v>139144.66</v>
      </c>
      <c r="W16" s="25" t="n">
        <v>132880.98</v>
      </c>
      <c r="X16" s="25" t="n">
        <v>109076.765</v>
      </c>
      <c r="Y16" s="25" t="n">
        <v>10498.35</v>
      </c>
      <c r="Z16" s="25" t="n">
        <v>8868.299999999999</v>
      </c>
      <c r="AA16" s="25" t="n">
        <v>103673.3</v>
      </c>
      <c r="AB16" s="25" t="n">
        <v>333.5</v>
      </c>
      <c r="AC16" s="25" t="n">
        <v>65679.765</v>
      </c>
      <c r="AD16" s="25" t="n">
        <v>1835.045</v>
      </c>
      <c r="AE16" s="26">
        <f>SUM(C16,E16,G16,I16,K16,M16,O16,Q16,S16,U16,W16,Y16,AA16,AC16)</f>
        <v/>
      </c>
      <c r="AF16" s="26">
        <f>SUM(D16,F16,H16,J16,L16,N16,P16,R16,T16,V16,X16,Z16,AB16,AD16)</f>
        <v/>
      </c>
      <c r="AG16" s="26">
        <f>AE16+AF16</f>
        <v/>
      </c>
    </row>
    <row r="17">
      <c r="A17" s="23" t="n">
        <v>12</v>
      </c>
      <c r="B17" s="24" t="inlineStr">
        <is>
          <t>Alsancak</t>
        </is>
      </c>
      <c r="C17" s="25" t="n">
        <v>364644.54</v>
      </c>
      <c r="D17" s="25" t="n">
        <v>1054439.698</v>
      </c>
      <c r="E17" s="25" t="n">
        <v>380015.275</v>
      </c>
      <c r="F17" s="25" t="n">
        <v>666920.602</v>
      </c>
      <c r="G17" s="25" t="n">
        <v>339351.787</v>
      </c>
      <c r="H17" s="25" t="n">
        <v>765103.235</v>
      </c>
      <c r="I17" s="25" t="n">
        <v>354340.86</v>
      </c>
      <c r="J17" s="25" t="n">
        <v>941278.527</v>
      </c>
      <c r="K17" s="25" t="n">
        <v>398884.594</v>
      </c>
      <c r="L17" s="25" t="n">
        <v>870449.37</v>
      </c>
      <c r="M17" s="25" t="n">
        <v>371968.714</v>
      </c>
      <c r="N17" s="25" t="n">
        <v>706598.7929999999</v>
      </c>
      <c r="O17" s="25" t="n">
        <v>363061.326</v>
      </c>
      <c r="P17" s="25" t="n">
        <v>702069.6360000001</v>
      </c>
      <c r="Q17" s="25" t="n">
        <v>377018.237</v>
      </c>
      <c r="R17" s="25" t="n">
        <v>832786.785</v>
      </c>
      <c r="S17" s="25" t="n">
        <v>380434.326</v>
      </c>
      <c r="T17" s="25" t="n">
        <v>787621.7830000001</v>
      </c>
      <c r="U17" s="25" t="n">
        <v>339452.114</v>
      </c>
      <c r="V17" s="25" t="n">
        <v>570907.238</v>
      </c>
      <c r="W17" s="25" t="n">
        <v>242879.955</v>
      </c>
      <c r="X17" s="25" t="n">
        <v>444794.145</v>
      </c>
      <c r="Y17" s="25" t="n">
        <v>210373.825</v>
      </c>
      <c r="Z17" s="25" t="n">
        <v>324260.293</v>
      </c>
      <c r="AA17" s="25" t="n">
        <v>179835.766</v>
      </c>
      <c r="AB17" s="25" t="n">
        <v>277668.804</v>
      </c>
      <c r="AC17" s="25" t="n">
        <v>131720.91</v>
      </c>
      <c r="AD17" s="25" t="n">
        <v>188252.08</v>
      </c>
      <c r="AE17" s="26">
        <f>SUM(C17,E17,G17,I17,K17,M17,O17,Q17,S17,U17,W17,Y17,AA17,AC17)</f>
        <v/>
      </c>
      <c r="AF17" s="26">
        <f>SUM(D17,F17,H17,J17,L17,N17,P17,R17,T17,V17,X17,Z17,AB17,AD17)</f>
        <v/>
      </c>
      <c r="AG17" s="26">
        <f>AE17+AF17</f>
        <v/>
      </c>
    </row>
    <row r="18">
      <c r="A18" s="23" t="n">
        <v>13</v>
      </c>
      <c r="B18" s="24" t="inlineStr">
        <is>
          <t>Yeni Suveren</t>
        </is>
      </c>
      <c r="C18" s="25" t="n">
        <v>85101.48</v>
      </c>
      <c r="D18" s="25" t="n">
        <v>17210</v>
      </c>
      <c r="E18" s="25" t="n">
        <v>525453.6800000001</v>
      </c>
      <c r="F18" s="25" t="n">
        <v>252469.37</v>
      </c>
      <c r="G18" s="25" t="n">
        <v>505163.7</v>
      </c>
      <c r="H18" s="25" t="n">
        <v>91872.98</v>
      </c>
      <c r="I18" s="25" t="n">
        <v>761391.12</v>
      </c>
      <c r="J18" s="25" t="n">
        <v>112710.7</v>
      </c>
      <c r="K18" s="25" t="n">
        <v>973000.041</v>
      </c>
      <c r="L18" s="25" t="n">
        <v>173331</v>
      </c>
      <c r="M18" s="25" t="n">
        <v>996370.0330000001</v>
      </c>
      <c r="N18" s="25" t="n">
        <v>175375.1</v>
      </c>
      <c r="O18" s="25" t="n">
        <v>1005814.861</v>
      </c>
      <c r="P18" s="25" t="n">
        <v>182320.27</v>
      </c>
      <c r="Q18" s="25" t="n">
        <v>1224372.593</v>
      </c>
      <c r="R18" s="25" t="n">
        <v>217129.8</v>
      </c>
      <c r="S18" s="25" t="n">
        <v>1296674.386</v>
      </c>
      <c r="T18" s="25" t="n">
        <v>232273.6</v>
      </c>
      <c r="U18" s="25" t="n">
        <v>1104816.674</v>
      </c>
      <c r="V18" s="25" t="n">
        <v>197868.98</v>
      </c>
      <c r="W18" s="25" t="n">
        <v>556503.99</v>
      </c>
      <c r="X18" s="25" t="n">
        <v>99676.53</v>
      </c>
      <c r="Y18" s="25" t="n">
        <v>761002.13</v>
      </c>
      <c r="Z18" s="25" t="n">
        <v>135441.46</v>
      </c>
      <c r="AA18" s="25" t="n">
        <v>861959.235</v>
      </c>
      <c r="AB18" s="25" t="n">
        <v>153360</v>
      </c>
      <c r="AC18" s="25" t="n">
        <v>501862.466</v>
      </c>
      <c r="AD18" s="25" t="n">
        <v>90393</v>
      </c>
      <c r="AE18" s="26">
        <f>SUM(C18,E18,G18,I18,K18,M18,O18,Q18,S18,U18,W18,Y18,AA18,AC18)</f>
        <v/>
      </c>
      <c r="AF18" s="26">
        <f>SUM(D18,F18,H18,J18,L18,N18,P18,R18,T18,V18,X18,Z18,AB18,AD18)</f>
        <v/>
      </c>
      <c r="AG18" s="26">
        <f>AE18+AF18</f>
        <v/>
      </c>
    </row>
    <row r="19">
      <c r="A19" s="23" t="n">
        <v>14</v>
      </c>
      <c r="B19" s="24" t="inlineStr">
        <is>
          <t>Değirmenözü</t>
        </is>
      </c>
      <c r="C19" s="25" t="n">
        <v>359049.201</v>
      </c>
      <c r="D19" s="25" t="n">
        <v>172544.83</v>
      </c>
      <c r="E19" s="25" t="n">
        <v>287165.5</v>
      </c>
      <c r="F19" s="25" t="n">
        <v>103087.386</v>
      </c>
      <c r="G19" s="25" t="n">
        <v>333362.43</v>
      </c>
      <c r="H19" s="25" t="n">
        <v>105960.976</v>
      </c>
      <c r="I19" s="25" t="n">
        <v>672497.528</v>
      </c>
      <c r="J19" s="25" t="n">
        <v>87071.07000000001</v>
      </c>
      <c r="K19" s="25" t="n">
        <v>848610.71</v>
      </c>
      <c r="L19" s="25" t="n">
        <v>109964.74</v>
      </c>
      <c r="M19" s="25" t="n">
        <v>1015339.04</v>
      </c>
      <c r="N19" s="25" t="n">
        <v>143902.615</v>
      </c>
      <c r="O19" s="25" t="n">
        <v>830339.045</v>
      </c>
      <c r="P19" s="25" t="n">
        <v>112108.86</v>
      </c>
      <c r="Q19" s="25" t="n">
        <v>790059.89</v>
      </c>
      <c r="R19" s="25" t="n">
        <v>111755.945</v>
      </c>
      <c r="S19" s="25" t="n">
        <v>1161810.31</v>
      </c>
      <c r="T19" s="25" t="n">
        <v>161419.675</v>
      </c>
      <c r="U19" s="25" t="n">
        <v>1226976.626</v>
      </c>
      <c r="V19" s="25" t="n">
        <v>180262.39</v>
      </c>
      <c r="W19" s="25" t="n">
        <v>861848.835</v>
      </c>
      <c r="X19" s="25" t="n">
        <v>126232.68</v>
      </c>
      <c r="Y19" s="25" t="n">
        <v>950608.745</v>
      </c>
      <c r="Z19" s="25" t="n">
        <v>140127.045</v>
      </c>
      <c r="AA19" s="25" t="n">
        <v>861427.965</v>
      </c>
      <c r="AB19" s="25" t="n">
        <v>98838.75999999999</v>
      </c>
      <c r="AC19" s="25" t="n">
        <v>505278.745</v>
      </c>
      <c r="AD19" s="25" t="n">
        <v>60050.63</v>
      </c>
      <c r="AE19" s="26">
        <f>SUM(C19,E19,G19,I19,K19,M19,O19,Q19,S19,U19,W19,Y19,AA19,AC19)</f>
        <v/>
      </c>
      <c r="AF19" s="26">
        <f>SUM(D19,F19,H19,J19,L19,N19,P19,R19,T19,V19,X19,Z19,AB19,AD19)</f>
        <v/>
      </c>
      <c r="AG19" s="26">
        <f>AE19+AF19</f>
        <v/>
      </c>
    </row>
    <row r="20">
      <c r="A20" s="23" t="n">
        <v>15</v>
      </c>
      <c r="B20" s="24" t="inlineStr">
        <is>
          <t>Mersin</t>
        </is>
      </c>
      <c r="C20" s="25" t="n">
        <v>788675.8810000001</v>
      </c>
      <c r="D20" s="25" t="n">
        <v>859178.9399999999</v>
      </c>
      <c r="E20" s="25" t="n">
        <v>827807.955</v>
      </c>
      <c r="F20" s="25" t="n">
        <v>1101915.545</v>
      </c>
      <c r="G20" s="25" t="n">
        <v>729805.28</v>
      </c>
      <c r="H20" s="25" t="n">
        <v>838589.755</v>
      </c>
      <c r="I20" s="25" t="n">
        <v>697013.9179999999</v>
      </c>
      <c r="J20" s="25" t="n">
        <v>847682.39</v>
      </c>
      <c r="K20" s="25" t="n">
        <v>711115.144</v>
      </c>
      <c r="L20" s="25" t="n">
        <v>1008899.391</v>
      </c>
      <c r="M20" s="25" t="n">
        <v>596654.791</v>
      </c>
      <c r="N20" s="25" t="n">
        <v>584535.505</v>
      </c>
      <c r="O20" s="25" t="n">
        <v>270820.815</v>
      </c>
      <c r="P20" s="25" t="n">
        <v>247979.777</v>
      </c>
      <c r="Q20" s="25" t="n">
        <v>1700</v>
      </c>
      <c r="R20" s="25" t="n">
        <v>308.47</v>
      </c>
      <c r="S20" s="25" t="n"/>
      <c r="T20" s="25" t="n"/>
      <c r="U20" s="25" t="n"/>
      <c r="V20" s="25" t="n"/>
      <c r="W20" s="25" t="n"/>
      <c r="X20" s="25" t="n"/>
      <c r="Y20" s="25" t="n"/>
      <c r="Z20" s="25" t="n"/>
      <c r="AA20" s="25" t="n"/>
      <c r="AB20" s="25" t="n"/>
      <c r="AC20" s="25" t="n"/>
      <c r="AD20" s="25" t="n"/>
      <c r="AE20" s="26">
        <f>SUM(C20,E20,G20,I20,K20,M20,O20,Q20,S20,U20,W20,Y20,AA20,AC20)</f>
        <v/>
      </c>
      <c r="AF20" s="26">
        <f>SUM(D20,F20,H20,J20,L20,N20,P20,R20,T20,V20,X20,Z20,AB20,AD20)</f>
        <v/>
      </c>
      <c r="AG20" s="26">
        <f>AE20+AF20</f>
        <v/>
      </c>
    </row>
    <row r="21">
      <c r="A21" s="23" t="n">
        <v>16</v>
      </c>
      <c r="B21" s="24" t="inlineStr">
        <is>
          <t>Marşandiz</t>
        </is>
      </c>
      <c r="C21" s="25" t="n">
        <v>189922.34</v>
      </c>
      <c r="D21" s="25" t="n">
        <v>663816.8050000001</v>
      </c>
      <c r="E21" s="25" t="n">
        <v>195657.166</v>
      </c>
      <c r="F21" s="25" t="n">
        <v>612260.3689999999</v>
      </c>
      <c r="G21" s="25" t="n">
        <v>195465.428</v>
      </c>
      <c r="H21" s="25" t="n">
        <v>583028.598</v>
      </c>
      <c r="I21" s="25" t="n">
        <v>175970.376</v>
      </c>
      <c r="J21" s="25" t="n">
        <v>447176.705</v>
      </c>
      <c r="K21" s="25" t="n">
        <v>111493.255</v>
      </c>
      <c r="L21" s="25" t="n">
        <v>297780.285</v>
      </c>
      <c r="M21" s="25" t="n">
        <v>169111.993</v>
      </c>
      <c r="N21" s="25" t="n">
        <v>356357.945</v>
      </c>
      <c r="O21" s="25" t="n">
        <v>317863.375</v>
      </c>
      <c r="P21" s="25" t="n">
        <v>526988.2659999999</v>
      </c>
      <c r="Q21" s="25" t="n">
        <v>334453.692</v>
      </c>
      <c r="R21" s="25" t="n">
        <v>515535.32</v>
      </c>
      <c r="S21" s="25" t="n">
        <v>302313.628</v>
      </c>
      <c r="T21" s="25" t="n">
        <v>589784.044</v>
      </c>
      <c r="U21" s="25" t="n">
        <v>277293.857</v>
      </c>
      <c r="V21" s="25" t="n">
        <v>490478.207</v>
      </c>
      <c r="W21" s="25" t="n">
        <v>248191.737</v>
      </c>
      <c r="X21" s="25" t="n">
        <v>439007.053</v>
      </c>
      <c r="Y21" s="25" t="n">
        <v>196766.198</v>
      </c>
      <c r="Z21" s="25" t="n">
        <v>391684.909</v>
      </c>
      <c r="AA21" s="25" t="n">
        <v>190831.93</v>
      </c>
      <c r="AB21" s="25" t="n">
        <v>322290.32</v>
      </c>
      <c r="AC21" s="25" t="n">
        <v>126921.516</v>
      </c>
      <c r="AD21" s="25" t="n">
        <v>188514.277</v>
      </c>
      <c r="AE21" s="26">
        <f>SUM(C21,E21,G21,I21,K21,M21,O21,Q21,S21,U21,W21,Y21,AA21,AC21)</f>
        <v/>
      </c>
      <c r="AF21" s="26">
        <f>SUM(D21,F21,H21,J21,L21,N21,P21,R21,T21,V21,X21,Z21,AB21,AD21)</f>
        <v/>
      </c>
      <c r="AG21" s="26">
        <f>AE21+AF21</f>
        <v/>
      </c>
    </row>
    <row r="22">
      <c r="A22" s="23" t="n">
        <v>17</v>
      </c>
      <c r="B22" s="24" t="inlineStr">
        <is>
          <t>Muradiye</t>
        </is>
      </c>
      <c r="C22" s="25" t="n">
        <v>102386.65</v>
      </c>
      <c r="D22" s="25" t="n">
        <v>170871.964</v>
      </c>
      <c r="E22" s="25" t="n">
        <v>119789.779</v>
      </c>
      <c r="F22" s="25" t="n">
        <v>202479.075</v>
      </c>
      <c r="G22" s="25" t="n">
        <v>83167.64999999999</v>
      </c>
      <c r="H22" s="25" t="n">
        <v>172480.452</v>
      </c>
      <c r="I22" s="25" t="n">
        <v>120145</v>
      </c>
      <c r="J22" s="25" t="n">
        <v>236740.5</v>
      </c>
      <c r="K22" s="25" t="n">
        <v>154099.7</v>
      </c>
      <c r="L22" s="25" t="n">
        <v>266840.965</v>
      </c>
      <c r="M22" s="25" t="n">
        <v>200488.977</v>
      </c>
      <c r="N22" s="25" t="n">
        <v>335307.131</v>
      </c>
      <c r="O22" s="25" t="n">
        <v>217903.912</v>
      </c>
      <c r="P22" s="25" t="n">
        <v>358690.805</v>
      </c>
      <c r="Q22" s="25" t="n">
        <v>229014.51</v>
      </c>
      <c r="R22" s="25" t="n">
        <v>458770.822</v>
      </c>
      <c r="S22" s="25" t="n">
        <v>315610.88</v>
      </c>
      <c r="T22" s="25" t="n">
        <v>514347.143</v>
      </c>
      <c r="U22" s="25" t="n">
        <v>373336.006</v>
      </c>
      <c r="V22" s="25" t="n">
        <v>575315.72</v>
      </c>
      <c r="W22" s="25" t="n">
        <v>421776.41</v>
      </c>
      <c r="X22" s="25" t="n">
        <v>727946.585</v>
      </c>
      <c r="Y22" s="25" t="n">
        <v>415636.833</v>
      </c>
      <c r="Z22" s="25" t="n">
        <v>763616.2120000001</v>
      </c>
      <c r="AA22" s="25" t="n">
        <v>426201.693</v>
      </c>
      <c r="AB22" s="25" t="n">
        <v>793960.139</v>
      </c>
      <c r="AC22" s="25" t="n">
        <v>229553.609</v>
      </c>
      <c r="AD22" s="25" t="n">
        <v>445011.057</v>
      </c>
      <c r="AE22" s="26">
        <f>SUM(C22,E22,G22,I22,K22,M22,O22,Q22,S22,U22,W22,Y22,AA22,AC22)</f>
        <v/>
      </c>
      <c r="AF22" s="26">
        <f>SUM(D22,F22,H22,J22,L22,N22,P22,R22,T22,V22,X22,Z22,AB22,AD22)</f>
        <v/>
      </c>
      <c r="AG22" s="26">
        <f>AE22+AF22</f>
        <v/>
      </c>
    </row>
    <row r="23">
      <c r="A23" s="23" t="n">
        <v>18</v>
      </c>
      <c r="B23" s="24" t="inlineStr">
        <is>
          <t>Bandırma</t>
        </is>
      </c>
      <c r="C23" s="25" t="n">
        <v>234469.851</v>
      </c>
      <c r="D23" s="25" t="n">
        <v>396106.268</v>
      </c>
      <c r="E23" s="25" t="n">
        <v>149754.982</v>
      </c>
      <c r="F23" s="25" t="n">
        <v>274897.601</v>
      </c>
      <c r="G23" s="25" t="n">
        <v>115625.35</v>
      </c>
      <c r="H23" s="25" t="n">
        <v>232298.37</v>
      </c>
      <c r="I23" s="25" t="n">
        <v>105239.446</v>
      </c>
      <c r="J23" s="25" t="n">
        <v>399336.598</v>
      </c>
      <c r="K23" s="25" t="n">
        <v>198699.156</v>
      </c>
      <c r="L23" s="25" t="n">
        <v>552715.59</v>
      </c>
      <c r="M23" s="25" t="n">
        <v>215534.716</v>
      </c>
      <c r="N23" s="25" t="n">
        <v>537233.732</v>
      </c>
      <c r="O23" s="25" t="n">
        <v>219564.939</v>
      </c>
      <c r="P23" s="25" t="n">
        <v>479934.93</v>
      </c>
      <c r="Q23" s="25" t="n">
        <v>181970.575</v>
      </c>
      <c r="R23" s="25" t="n">
        <v>474967.865</v>
      </c>
      <c r="S23" s="25" t="n">
        <v>186893.516</v>
      </c>
      <c r="T23" s="25" t="n">
        <v>631889.902</v>
      </c>
      <c r="U23" s="25" t="n">
        <v>155660.145</v>
      </c>
      <c r="V23" s="25" t="n">
        <v>639097.676</v>
      </c>
      <c r="W23" s="25" t="n">
        <v>113758.392</v>
      </c>
      <c r="X23" s="25" t="n">
        <v>463309.555</v>
      </c>
      <c r="Y23" s="25" t="n">
        <v>155526.79</v>
      </c>
      <c r="Z23" s="25" t="n">
        <v>437852.193</v>
      </c>
      <c r="AA23" s="25" t="n">
        <v>126687.031</v>
      </c>
      <c r="AB23" s="25" t="n">
        <v>354240.071</v>
      </c>
      <c r="AC23" s="25" t="n">
        <v>52252.893</v>
      </c>
      <c r="AD23" s="25" t="n">
        <v>220129.555</v>
      </c>
      <c r="AE23" s="26">
        <f>SUM(C23,E23,G23,I23,K23,M23,O23,Q23,S23,U23,W23,Y23,AA23,AC23)</f>
        <v/>
      </c>
      <c r="AF23" s="26">
        <f>SUM(D23,F23,H23,J23,L23,N23,P23,R23,T23,V23,X23,Z23,AB23,AD23)</f>
        <v/>
      </c>
      <c r="AG23" s="26">
        <f>AE23+AF23</f>
        <v/>
      </c>
    </row>
    <row r="24">
      <c r="A24" s="23" t="n">
        <v>19</v>
      </c>
      <c r="B24" s="24" t="inlineStr">
        <is>
          <t>Halkalı</t>
        </is>
      </c>
      <c r="C24" s="25" t="n">
        <v>166168.981</v>
      </c>
      <c r="D24" s="25" t="n">
        <v>327764.435</v>
      </c>
      <c r="E24" s="25" t="n">
        <v>255.6</v>
      </c>
      <c r="F24" s="25" t="n">
        <v>12708.77</v>
      </c>
      <c r="G24" s="25" t="n">
        <v>4785.059</v>
      </c>
      <c r="H24" s="25" t="n">
        <v>8468.32</v>
      </c>
      <c r="I24" s="25" t="n">
        <v>157643.811</v>
      </c>
      <c r="J24" s="25" t="n">
        <v>254998.162</v>
      </c>
      <c r="K24" s="25" t="n">
        <v>150175.284</v>
      </c>
      <c r="L24" s="25" t="n">
        <v>284792.319</v>
      </c>
      <c r="M24" s="25" t="n">
        <v>189363.095</v>
      </c>
      <c r="N24" s="25" t="n">
        <v>272546.903</v>
      </c>
      <c r="O24" s="25" t="n">
        <v>252472.912</v>
      </c>
      <c r="P24" s="25" t="n">
        <v>344339.848</v>
      </c>
      <c r="Q24" s="25" t="n">
        <v>334993.503</v>
      </c>
      <c r="R24" s="25" t="n">
        <v>446197.598</v>
      </c>
      <c r="S24" s="25" t="n">
        <v>418090.324</v>
      </c>
      <c r="T24" s="25" t="n">
        <v>534057.754</v>
      </c>
      <c r="U24" s="25" t="n">
        <v>519418.688</v>
      </c>
      <c r="V24" s="25" t="n">
        <v>635661.784</v>
      </c>
      <c r="W24" s="25" t="n">
        <v>442355.494</v>
      </c>
      <c r="X24" s="25" t="n">
        <v>514840.347</v>
      </c>
      <c r="Y24" s="25" t="n">
        <v>399645.422</v>
      </c>
      <c r="Z24" s="25" t="n">
        <v>471075.798</v>
      </c>
      <c r="AA24" s="25" t="n">
        <v>214285.877</v>
      </c>
      <c r="AB24" s="25" t="n">
        <v>287954.943</v>
      </c>
      <c r="AC24" s="25" t="n">
        <v>129796.884</v>
      </c>
      <c r="AD24" s="25" t="n">
        <v>160251.136</v>
      </c>
      <c r="AE24" s="26">
        <f>SUM(C24,E24,G24,I24,K24,M24,O24,Q24,S24,U24,W24,Y24,AA24,AC24)</f>
        <v/>
      </c>
      <c r="AF24" s="26">
        <f>SUM(D24,F24,H24,J24,L24,N24,P24,R24,T24,V24,X24,Z24,AB24,AD24)</f>
        <v/>
      </c>
      <c r="AG24" s="26">
        <f>AE24+AF24</f>
        <v/>
      </c>
    </row>
    <row r="25">
      <c r="A25" s="23" t="n">
        <v>20</v>
      </c>
      <c r="B25" s="24" t="inlineStr">
        <is>
          <t>Yarımca</t>
        </is>
      </c>
      <c r="C25" s="25" t="n"/>
      <c r="D25" s="25" t="n"/>
      <c r="E25" s="25" t="n"/>
      <c r="F25" s="25" t="n">
        <v>21903</v>
      </c>
      <c r="G25" s="25" t="n">
        <v>331661.86</v>
      </c>
      <c r="H25" s="25" t="n">
        <v>494991.93</v>
      </c>
      <c r="I25" s="25" t="n">
        <v>613451.508</v>
      </c>
      <c r="J25" s="25" t="n">
        <v>943677.476</v>
      </c>
      <c r="K25" s="25" t="n">
        <v>740243.898</v>
      </c>
      <c r="L25" s="25" t="n">
        <v>1068522.97</v>
      </c>
      <c r="M25" s="25" t="n">
        <v>788398.471</v>
      </c>
      <c r="N25" s="25" t="n">
        <v>1072148.758</v>
      </c>
      <c r="O25" s="25" t="n">
        <v>521514.585</v>
      </c>
      <c r="P25" s="25" t="n">
        <v>794226.16</v>
      </c>
      <c r="Q25" s="25" t="n">
        <v>33707.736</v>
      </c>
      <c r="R25" s="25" t="n">
        <v>64228.676</v>
      </c>
      <c r="S25" s="25" t="n">
        <v>8844.977999999999</v>
      </c>
      <c r="T25" s="25" t="n">
        <v>63588.604</v>
      </c>
      <c r="U25" s="25" t="n">
        <v>354.85</v>
      </c>
      <c r="V25" s="25" t="n">
        <v>3429.525</v>
      </c>
      <c r="W25" s="25" t="n"/>
      <c r="X25" s="25" t="n">
        <v>3169.85</v>
      </c>
      <c r="Y25" s="25" t="n">
        <v>25236.248</v>
      </c>
      <c r="Z25" s="25" t="n">
        <v>24355.15</v>
      </c>
      <c r="AA25" s="25" t="n">
        <v>39814.003</v>
      </c>
      <c r="AB25" s="25" t="n">
        <v>35875.147</v>
      </c>
      <c r="AC25" s="25" t="n">
        <v>38048.14</v>
      </c>
      <c r="AD25" s="25" t="n">
        <v>105472.252</v>
      </c>
      <c r="AE25" s="26">
        <f>SUM(C25,E25,G25,I25,K25,M25,O25,Q25,S25,U25,W25,Y25,AA25,AC25)</f>
        <v/>
      </c>
      <c r="AF25" s="26">
        <f>SUM(D25,F25,H25,J25,L25,N25,P25,R25,T25,V25,X25,Z25,AB25,AD25)</f>
        <v/>
      </c>
      <c r="AG25" s="26">
        <f>AE25+AF25</f>
        <v/>
      </c>
    </row>
    <row r="26">
      <c r="A26" s="5" t="n">
        <v>21</v>
      </c>
      <c r="B26" s="27" t="inlineStr">
        <is>
          <t>Gümüş</t>
        </is>
      </c>
      <c r="C26" s="7" t="n">
        <v>230960.377</v>
      </c>
      <c r="D26" s="7" t="n">
        <v>38836</v>
      </c>
      <c r="E26" s="7" t="n">
        <v>164094.71</v>
      </c>
      <c r="F26" s="7" t="n">
        <v>57859</v>
      </c>
      <c r="G26" s="7" t="n">
        <v>441213.49</v>
      </c>
      <c r="H26" s="7" t="n">
        <v>69361.614</v>
      </c>
      <c r="I26" s="7" t="n">
        <v>459000.695</v>
      </c>
      <c r="J26" s="7" t="n">
        <v>74855.476</v>
      </c>
      <c r="K26" s="7" t="n">
        <v>536303.276</v>
      </c>
      <c r="L26" s="7" t="n">
        <v>82425.905</v>
      </c>
      <c r="M26" s="7" t="n">
        <v>575652.1</v>
      </c>
      <c r="N26" s="7" t="n">
        <v>86909.31</v>
      </c>
      <c r="O26" s="7" t="n">
        <v>626186.4399999999</v>
      </c>
      <c r="P26" s="7" t="n">
        <v>122384.25</v>
      </c>
      <c r="Q26" s="7" t="n">
        <v>568595.11</v>
      </c>
      <c r="R26" s="7" t="n">
        <v>109180.835</v>
      </c>
      <c r="S26" s="7" t="n">
        <v>675982.325</v>
      </c>
      <c r="T26" s="7" t="n">
        <v>100627.975</v>
      </c>
      <c r="U26" s="7" t="n">
        <v>531903.22</v>
      </c>
      <c r="V26" s="7" t="n">
        <v>82547.34</v>
      </c>
      <c r="W26" s="7" t="n">
        <v>550806.825</v>
      </c>
      <c r="X26" s="7" t="n">
        <v>84310</v>
      </c>
      <c r="Y26" s="7" t="n">
        <v>573838.55</v>
      </c>
      <c r="Z26" s="7" t="n">
        <v>88210</v>
      </c>
      <c r="AA26" s="7" t="n">
        <v>513396.96</v>
      </c>
      <c r="AB26" s="7" t="n">
        <v>80898.5</v>
      </c>
      <c r="AC26" s="7" t="n">
        <v>250677.477</v>
      </c>
      <c r="AD26" s="7" t="n">
        <v>39206</v>
      </c>
      <c r="AE26" s="8">
        <f>SUM(C26,E26,G26,I26,K26,M26,O26,Q26,S26,U26,W26,Y26,AA26,AC26)</f>
        <v/>
      </c>
      <c r="AF26" s="8">
        <f>SUM(D26,F26,H26,J26,L26,N26,P26,R26,T26,V26,X26,Z26,AB26,AD26)</f>
        <v/>
      </c>
      <c r="AG26" s="8">
        <f>AE26+AF26</f>
        <v/>
      </c>
    </row>
    <row r="27">
      <c r="A27" s="10" t="n">
        <v>22</v>
      </c>
      <c r="B27" s="28" t="inlineStr">
        <is>
          <t>Kuşcenneti</t>
        </is>
      </c>
      <c r="C27" s="12" t="n">
        <v>184987.589</v>
      </c>
      <c r="D27" s="12" t="n">
        <v>258528.156</v>
      </c>
      <c r="E27" s="12" t="n">
        <v>167509.605</v>
      </c>
      <c r="F27" s="12" t="n">
        <v>269626.45</v>
      </c>
      <c r="G27" s="12" t="n">
        <v>120344.415</v>
      </c>
      <c r="H27" s="12" t="n">
        <v>290763.53</v>
      </c>
      <c r="I27" s="12" t="n">
        <v>118722.445</v>
      </c>
      <c r="J27" s="12" t="n">
        <v>366617.029</v>
      </c>
      <c r="K27" s="12" t="n">
        <v>116382.65</v>
      </c>
      <c r="L27" s="12" t="n">
        <v>396815.05</v>
      </c>
      <c r="M27" s="12" t="n">
        <v>112086.47</v>
      </c>
      <c r="N27" s="12" t="n">
        <v>464430.63</v>
      </c>
      <c r="O27" s="12" t="n">
        <v>110442.487</v>
      </c>
      <c r="P27" s="12" t="n">
        <v>473576.706</v>
      </c>
      <c r="Q27" s="12" t="n">
        <v>92299.505</v>
      </c>
      <c r="R27" s="12" t="n">
        <v>457229.54</v>
      </c>
      <c r="S27" s="12" t="n">
        <v>126882.955</v>
      </c>
      <c r="T27" s="12" t="n">
        <v>623939.59</v>
      </c>
      <c r="U27" s="12" t="n">
        <v>125079.99</v>
      </c>
      <c r="V27" s="12" t="n">
        <v>607379.7070000001</v>
      </c>
      <c r="W27" s="12" t="n">
        <v>77767.505</v>
      </c>
      <c r="X27" s="12" t="n">
        <v>411550.34</v>
      </c>
      <c r="Y27" s="12" t="n">
        <v>75873.98</v>
      </c>
      <c r="Z27" s="12" t="n">
        <v>514093.92</v>
      </c>
      <c r="AA27" s="12" t="n">
        <v>105520.38</v>
      </c>
      <c r="AB27" s="12" t="n">
        <v>587233.41</v>
      </c>
      <c r="AC27" s="12" t="n">
        <v>95746.701</v>
      </c>
      <c r="AD27" s="12" t="n">
        <v>388657.33</v>
      </c>
      <c r="AE27" s="13">
        <f>SUM(C27,E27,G27,I27,K27,M27,O27,Q27,S27,U27,W27,Y27,AA27,AC27)</f>
        <v/>
      </c>
      <c r="AF27" s="13">
        <f>SUM(D27,F27,H27,J27,L27,N27,P27,R27,T27,V27,X27,Z27,AB27,AD27)</f>
        <v/>
      </c>
      <c r="AG27" s="13">
        <f>AE27+AF27</f>
        <v/>
      </c>
    </row>
    <row r="28">
      <c r="A28" s="5" t="n">
        <v>23</v>
      </c>
      <c r="B28" s="27" t="inlineStr">
        <is>
          <t>Sarıseki</t>
        </is>
      </c>
      <c r="C28" s="7" t="n">
        <v>98511.10000000001</v>
      </c>
      <c r="D28" s="7" t="n">
        <v>16192.68</v>
      </c>
      <c r="E28" s="7" t="n">
        <v>44023.229</v>
      </c>
      <c r="F28" s="7" t="n">
        <v>38957.19</v>
      </c>
      <c r="G28" s="7" t="n">
        <v>56801.64</v>
      </c>
      <c r="H28" s="7" t="n">
        <v>33018.94</v>
      </c>
      <c r="I28" s="7" t="n">
        <v>154480.35</v>
      </c>
      <c r="J28" s="7" t="n">
        <v>70792.06</v>
      </c>
      <c r="K28" s="7" t="n">
        <v>191916.53</v>
      </c>
      <c r="L28" s="7" t="n">
        <v>289039.92</v>
      </c>
      <c r="M28" s="7" t="n">
        <v>216073.55</v>
      </c>
      <c r="N28" s="7" t="n">
        <v>471820.227</v>
      </c>
      <c r="O28" s="7" t="n">
        <v>354112.213</v>
      </c>
      <c r="P28" s="7" t="n">
        <v>971568.605</v>
      </c>
      <c r="Q28" s="7" t="n">
        <v>423300.015</v>
      </c>
      <c r="R28" s="7" t="n">
        <v>657058.0600000001</v>
      </c>
      <c r="S28" s="7" t="n">
        <v>319384.03</v>
      </c>
      <c r="T28" s="7" t="n">
        <v>651510.134</v>
      </c>
      <c r="U28" s="7" t="n">
        <v>318825.995</v>
      </c>
      <c r="V28" s="7" t="n">
        <v>856936.405</v>
      </c>
      <c r="W28" s="7" t="n">
        <v>81542.31</v>
      </c>
      <c r="X28" s="7" t="n">
        <v>258741.985</v>
      </c>
      <c r="Y28" s="7" t="n">
        <v>19054.572</v>
      </c>
      <c r="Z28" s="7" t="n">
        <v>28088.763</v>
      </c>
      <c r="AA28" s="7" t="n">
        <v>28013.83</v>
      </c>
      <c r="AB28" s="7" t="n">
        <v>108594.5</v>
      </c>
      <c r="AC28" s="7" t="n">
        <v>58529.69</v>
      </c>
      <c r="AD28" s="7" t="n">
        <v>254784.553</v>
      </c>
      <c r="AE28" s="8">
        <f>SUM(C28,E28,G28,I28,K28,M28,O28,Q28,S28,U28,W28,Y28,AA28,AC28)</f>
        <v/>
      </c>
      <c r="AF28" s="8">
        <f>SUM(D28,F28,H28,J28,L28,N28,P28,R28,T28,V28,X28,Z28,AB28,AD28)</f>
        <v/>
      </c>
      <c r="AG28" s="8">
        <f>AE28+AF28</f>
        <v/>
      </c>
    </row>
    <row r="29">
      <c r="A29" s="10" t="n">
        <v>24</v>
      </c>
      <c r="B29" s="28" t="inlineStr">
        <is>
          <t>Kuşsarayı</t>
        </is>
      </c>
      <c r="C29" s="12" t="n"/>
      <c r="D29" s="12" t="n">
        <v>756</v>
      </c>
      <c r="E29" s="12" t="n"/>
      <c r="F29" s="12" t="n"/>
      <c r="G29" s="12" t="n"/>
      <c r="H29" s="12" t="n">
        <v>8849.799999999999</v>
      </c>
      <c r="I29" s="12" t="n">
        <v>118497.8</v>
      </c>
      <c r="J29" s="12" t="n">
        <v>203642.535</v>
      </c>
      <c r="K29" s="12" t="n">
        <v>251057.525</v>
      </c>
      <c r="L29" s="12" t="n">
        <v>279040.3</v>
      </c>
      <c r="M29" s="12" t="n">
        <v>430870.465</v>
      </c>
      <c r="N29" s="12" t="n">
        <v>293110.58</v>
      </c>
      <c r="O29" s="12" t="n">
        <v>751185.085</v>
      </c>
      <c r="P29" s="12" t="n">
        <v>377890.78</v>
      </c>
      <c r="Q29" s="12" t="n">
        <v>610491.439</v>
      </c>
      <c r="R29" s="12" t="n">
        <v>375437.075</v>
      </c>
      <c r="S29" s="12" t="n">
        <v>642436.55</v>
      </c>
      <c r="T29" s="12" t="n">
        <v>429360.14</v>
      </c>
      <c r="U29" s="12" t="n">
        <v>784457.167</v>
      </c>
      <c r="V29" s="12" t="n">
        <v>398257.483</v>
      </c>
      <c r="W29" s="12" t="n">
        <v>213741.92</v>
      </c>
      <c r="X29" s="12" t="n">
        <v>202460.495</v>
      </c>
      <c r="Y29" s="12" t="n">
        <v>78861.443</v>
      </c>
      <c r="Z29" s="12" t="n">
        <v>174525.46</v>
      </c>
      <c r="AA29" s="12" t="n">
        <v>56750.48</v>
      </c>
      <c r="AB29" s="12" t="n">
        <v>176317.67</v>
      </c>
      <c r="AC29" s="12" t="n">
        <v>87304.175</v>
      </c>
      <c r="AD29" s="12" t="n">
        <v>124450.84</v>
      </c>
      <c r="AE29" s="13">
        <f>SUM(C29,E29,G29,I29,K29,M29,O29,Q29,S29,U29,W29,Y29,AA29,AC29)</f>
        <v/>
      </c>
      <c r="AF29" s="13">
        <f>SUM(D29,F29,H29,J29,L29,N29,P29,R29,T29,V29,X29,Z29,AB29,AD29)</f>
        <v/>
      </c>
      <c r="AG29" s="13">
        <f>AE29+AF29</f>
        <v/>
      </c>
    </row>
    <row r="30">
      <c r="A30" s="5" t="n">
        <v>25</v>
      </c>
      <c r="B30" s="27" t="inlineStr">
        <is>
          <t>Muratbağı</t>
        </is>
      </c>
      <c r="C30" s="7" t="n">
        <v>595491.48</v>
      </c>
      <c r="D30" s="7" t="n">
        <v>131039.63</v>
      </c>
      <c r="E30" s="7" t="n">
        <v>378385.15</v>
      </c>
      <c r="F30" s="7" t="n">
        <v>131858.38</v>
      </c>
      <c r="G30" s="7" t="n">
        <v>308664.87</v>
      </c>
      <c r="H30" s="7" t="n">
        <v>115573.721</v>
      </c>
      <c r="I30" s="7" t="n">
        <v>407163.535</v>
      </c>
      <c r="J30" s="7" t="n">
        <v>123564.03</v>
      </c>
      <c r="K30" s="7" t="n">
        <v>449458.15</v>
      </c>
      <c r="L30" s="7" t="n">
        <v>115592.76</v>
      </c>
      <c r="M30" s="7" t="n">
        <v>386845.549</v>
      </c>
      <c r="N30" s="7" t="n">
        <v>158793.43</v>
      </c>
      <c r="O30" s="7" t="n">
        <v>467823.584</v>
      </c>
      <c r="P30" s="7" t="n">
        <v>180623.855</v>
      </c>
      <c r="Q30" s="7" t="n">
        <v>389954.105</v>
      </c>
      <c r="R30" s="7" t="n">
        <v>122060.565</v>
      </c>
      <c r="S30" s="7" t="n">
        <v>508986.973</v>
      </c>
      <c r="T30" s="7" t="n">
        <v>155577.475</v>
      </c>
      <c r="U30" s="7" t="n">
        <v>362397.435</v>
      </c>
      <c r="V30" s="7" t="n">
        <v>102364.095</v>
      </c>
      <c r="W30" s="7" t="n">
        <v>229100.105</v>
      </c>
      <c r="X30" s="7" t="n">
        <v>95822.882</v>
      </c>
      <c r="Y30" s="7" t="n">
        <v>267394.16</v>
      </c>
      <c r="Z30" s="7" t="n">
        <v>133955.84</v>
      </c>
      <c r="AA30" s="7" t="n">
        <v>92337.995</v>
      </c>
      <c r="AB30" s="7" t="n">
        <v>62139.5</v>
      </c>
      <c r="AC30" s="7" t="n">
        <v>270493.179</v>
      </c>
      <c r="AD30" s="7" t="n">
        <v>98498.08500000001</v>
      </c>
      <c r="AE30" s="8">
        <f>SUM(C30,E30,G30,I30,K30,M30,O30,Q30,S30,U30,W30,Y30,AA30,AC30)</f>
        <v/>
      </c>
      <c r="AF30" s="8">
        <f>SUM(D30,F30,H30,J30,L30,N30,P30,R30,T30,V30,X30,Z30,AB30,AD30)</f>
        <v/>
      </c>
      <c r="AG30" s="8">
        <f>AE30+AF30</f>
        <v/>
      </c>
    </row>
    <row r="31">
      <c r="A31" s="10" t="n">
        <v>26</v>
      </c>
      <c r="B31" s="28" t="inlineStr">
        <is>
          <t>Tunçbilek</t>
        </is>
      </c>
      <c r="C31" s="12" t="n">
        <v>1219584.685</v>
      </c>
      <c r="D31" s="12" t="n">
        <v>165495.24</v>
      </c>
      <c r="E31" s="12" t="n">
        <v>1066296.92</v>
      </c>
      <c r="F31" s="12" t="n">
        <v>135514.93</v>
      </c>
      <c r="G31" s="12" t="n">
        <v>761275.55</v>
      </c>
      <c r="H31" s="12" t="n">
        <v>113127.43</v>
      </c>
      <c r="I31" s="12" t="n">
        <v>456811.644</v>
      </c>
      <c r="J31" s="12" t="n">
        <v>57470.74</v>
      </c>
      <c r="K31" s="12" t="n">
        <v>603882.14</v>
      </c>
      <c r="L31" s="12" t="n">
        <v>91510.3</v>
      </c>
      <c r="M31" s="12" t="n">
        <v>588894.74</v>
      </c>
      <c r="N31" s="12" t="n">
        <v>67655.57000000001</v>
      </c>
      <c r="O31" s="12" t="n">
        <v>478315.595</v>
      </c>
      <c r="P31" s="12" t="n">
        <v>43318.43</v>
      </c>
      <c r="Q31" s="12" t="n">
        <v>284986.14</v>
      </c>
      <c r="R31" s="12" t="n">
        <v>12190</v>
      </c>
      <c r="S31" s="12" t="n">
        <v>247352.6</v>
      </c>
      <c r="T31" s="12" t="n">
        <v>23794</v>
      </c>
      <c r="U31" s="12" t="n">
        <v>178874.45</v>
      </c>
      <c r="V31" s="12" t="n">
        <v>12070.155</v>
      </c>
      <c r="W31" s="12" t="n">
        <v>32909.05</v>
      </c>
      <c r="X31" s="12" t="n"/>
      <c r="Y31" s="12" t="n">
        <v>45707.4</v>
      </c>
      <c r="Z31" s="12" t="n"/>
      <c r="AA31" s="12" t="n">
        <v>36496</v>
      </c>
      <c r="AB31" s="12" t="n"/>
      <c r="AC31" s="12" t="n">
        <v>10404.25</v>
      </c>
      <c r="AD31" s="12" t="n"/>
      <c r="AE31" s="13">
        <f>SUM(C31,E31,G31,I31,K31,M31,O31,Q31,S31,U31,W31,Y31,AA31,AC31)</f>
        <v/>
      </c>
      <c r="AF31" s="13">
        <f>SUM(D31,F31,H31,J31,L31,N31,P31,R31,T31,V31,X31,Z31,AB31,AD31)</f>
        <v/>
      </c>
      <c r="AG31" s="13">
        <f>AE31+AF31</f>
        <v/>
      </c>
    </row>
    <row r="32">
      <c r="A32" s="5" t="n">
        <v>27</v>
      </c>
      <c r="B32" s="27" t="inlineStr">
        <is>
          <t>İsdemir</t>
        </is>
      </c>
      <c r="C32" s="7" t="n"/>
      <c r="D32" s="7" t="n"/>
      <c r="E32" s="7" t="n"/>
      <c r="F32" s="7" t="n"/>
      <c r="G32" s="7" t="n"/>
      <c r="H32" s="7" t="n"/>
      <c r="I32" s="7" t="n"/>
      <c r="J32" s="7" t="n"/>
      <c r="K32" s="7" t="n"/>
      <c r="L32" s="7" t="n"/>
      <c r="M32" s="7" t="n"/>
      <c r="N32" s="7" t="n"/>
      <c r="O32" s="7" t="n"/>
      <c r="P32" s="7" t="n"/>
      <c r="Q32" s="7" t="n"/>
      <c r="R32" s="7" t="n"/>
      <c r="S32" s="7" t="n"/>
      <c r="T32" s="7" t="n"/>
      <c r="U32" s="7" t="n">
        <v>316622.823</v>
      </c>
      <c r="V32" s="7" t="n">
        <v>1535625.229</v>
      </c>
      <c r="W32" s="7" t="n">
        <v>204014.682</v>
      </c>
      <c r="X32" s="7" t="n">
        <v>873831.45</v>
      </c>
      <c r="Y32" s="7" t="n">
        <v>220317.275</v>
      </c>
      <c r="Z32" s="7" t="n">
        <v>991714.26</v>
      </c>
      <c r="AA32" s="7" t="n">
        <v>262949.25</v>
      </c>
      <c r="AB32" s="7" t="n">
        <v>1062964.663</v>
      </c>
      <c r="AC32" s="7" t="n">
        <v>269546.555</v>
      </c>
      <c r="AD32" s="7" t="n">
        <v>972662.166</v>
      </c>
      <c r="AE32" s="8">
        <f>SUM(C32,E32,G32,I32,K32,M32,O32,Q32,S32,U32,W32,Y32,AA32,AC32)</f>
        <v/>
      </c>
      <c r="AF32" s="8">
        <f>SUM(D32,F32,H32,J32,L32,N32,P32,R32,T32,V32,X32,Z32,AB32,AD32)</f>
        <v/>
      </c>
      <c r="AG32" s="8">
        <f>AE32+AF32</f>
        <v/>
      </c>
    </row>
    <row r="33">
      <c r="A33" s="10" t="n">
        <v>28</v>
      </c>
      <c r="B33" s="28" t="inlineStr">
        <is>
          <t>Başpınar</t>
        </is>
      </c>
      <c r="C33" s="12" t="n">
        <v>51345.183</v>
      </c>
      <c r="D33" s="12" t="n">
        <v>200220.174</v>
      </c>
      <c r="E33" s="12" t="n">
        <v>179928.455</v>
      </c>
      <c r="F33" s="12" t="n">
        <v>336927.815</v>
      </c>
      <c r="G33" s="12" t="n">
        <v>183243.19</v>
      </c>
      <c r="H33" s="12" t="n">
        <v>308500.458</v>
      </c>
      <c r="I33" s="12" t="n">
        <v>177545.241</v>
      </c>
      <c r="J33" s="12" t="n">
        <v>395903.005</v>
      </c>
      <c r="K33" s="12" t="n">
        <v>288633.385</v>
      </c>
      <c r="L33" s="12" t="n">
        <v>540221.322</v>
      </c>
      <c r="M33" s="12" t="n">
        <v>243514.145</v>
      </c>
      <c r="N33" s="12" t="n">
        <v>592750.7830000001</v>
      </c>
      <c r="O33" s="12" t="n">
        <v>270513.093</v>
      </c>
      <c r="P33" s="12" t="n">
        <v>615071.219</v>
      </c>
      <c r="Q33" s="12" t="n">
        <v>181053.417</v>
      </c>
      <c r="R33" s="12" t="n">
        <v>464146.078</v>
      </c>
      <c r="S33" s="12" t="n">
        <v>113882.438</v>
      </c>
      <c r="T33" s="12" t="n">
        <v>310954.81</v>
      </c>
      <c r="U33" s="12" t="n">
        <v>191409.055</v>
      </c>
      <c r="V33" s="12" t="n">
        <v>346635.023</v>
      </c>
      <c r="W33" s="12" t="n">
        <v>62887.694</v>
      </c>
      <c r="X33" s="12" t="n">
        <v>91710.249</v>
      </c>
      <c r="Y33" s="12" t="n"/>
      <c r="Z33" s="12" t="n"/>
      <c r="AA33" s="12" t="n">
        <v>68724.802</v>
      </c>
      <c r="AB33" s="12" t="n">
        <v>91462.606</v>
      </c>
      <c r="AC33" s="12" t="n">
        <v>169965.159</v>
      </c>
      <c r="AD33" s="12" t="n">
        <v>211788.848</v>
      </c>
      <c r="AE33" s="13">
        <f>SUM(C33,E33,G33,I33,K33,M33,O33,Q33,S33,U33,W33,Y33,AA33,AC33)</f>
        <v/>
      </c>
      <c r="AF33" s="13">
        <f>SUM(D33,F33,H33,J33,L33,N33,P33,R33,T33,V33,X33,Z33,AB33,AD33)</f>
        <v/>
      </c>
      <c r="AG33" s="13">
        <f>AE33+AF33</f>
        <v/>
      </c>
    </row>
    <row r="34">
      <c r="A34" s="5" t="n">
        <v>29</v>
      </c>
      <c r="B34" s="27" t="inlineStr">
        <is>
          <t>Afyon Ali Çetinkaya</t>
        </is>
      </c>
      <c r="C34" s="7" t="n">
        <v>94662.32799999999</v>
      </c>
      <c r="D34" s="7" t="n">
        <v>96019.91499999999</v>
      </c>
      <c r="E34" s="7" t="n">
        <v>114062.47</v>
      </c>
      <c r="F34" s="7" t="n">
        <v>129531.493</v>
      </c>
      <c r="G34" s="7" t="n">
        <v>79959.614</v>
      </c>
      <c r="H34" s="7" t="n">
        <v>108576.126</v>
      </c>
      <c r="I34" s="7" t="n">
        <v>106437.361</v>
      </c>
      <c r="J34" s="7" t="n">
        <v>94620.33100000001</v>
      </c>
      <c r="K34" s="7" t="n">
        <v>158581.116</v>
      </c>
      <c r="L34" s="7" t="n">
        <v>49955.387</v>
      </c>
      <c r="M34" s="7" t="n">
        <v>199712.022</v>
      </c>
      <c r="N34" s="7" t="n">
        <v>66271.518</v>
      </c>
      <c r="O34" s="7" t="n">
        <v>529409.3540000001</v>
      </c>
      <c r="P34" s="7" t="n">
        <v>176195.989</v>
      </c>
      <c r="Q34" s="7" t="n">
        <v>809798.974</v>
      </c>
      <c r="R34" s="7" t="n">
        <v>183803.353</v>
      </c>
      <c r="S34" s="7" t="n">
        <v>822904.6629999999</v>
      </c>
      <c r="T34" s="7" t="n">
        <v>224532.854</v>
      </c>
      <c r="U34" s="7" t="n">
        <v>676842.177</v>
      </c>
      <c r="V34" s="7" t="n">
        <v>188852.01</v>
      </c>
      <c r="W34" s="7" t="n">
        <v>577372.4620000001</v>
      </c>
      <c r="X34" s="7" t="n">
        <v>163233.291</v>
      </c>
      <c r="Y34" s="7" t="n">
        <v>410796.255</v>
      </c>
      <c r="Z34" s="7" t="n">
        <v>118541.784</v>
      </c>
      <c r="AA34" s="7" t="n">
        <v>11181.557</v>
      </c>
      <c r="AB34" s="7" t="n">
        <v>9390.120000000001</v>
      </c>
      <c r="AC34" s="7" t="n">
        <v>8873.882</v>
      </c>
      <c r="AD34" s="7" t="n">
        <v>10658.33</v>
      </c>
      <c r="AE34" s="8">
        <f>SUM(C34,E34,G34,I34,K34,M34,O34,Q34,S34,U34,W34,Y34,AA34,AC34)</f>
        <v/>
      </c>
      <c r="AF34" s="8">
        <f>SUM(D34,F34,H34,J34,L34,N34,P34,R34,T34,V34,X34,Z34,AB34,AD34)</f>
        <v/>
      </c>
      <c r="AG34" s="8">
        <f>AE34+AF34</f>
        <v/>
      </c>
    </row>
    <row r="35">
      <c r="A35" s="10" t="n">
        <v>30</v>
      </c>
      <c r="B35" s="28" t="inlineStr">
        <is>
          <t>Tırmıl</t>
        </is>
      </c>
      <c r="C35" s="12" t="n">
        <v>14285.142</v>
      </c>
      <c r="D35" s="12" t="n">
        <v>13940.49</v>
      </c>
      <c r="E35" s="12" t="n">
        <v>26105.121</v>
      </c>
      <c r="F35" s="12" t="n">
        <v>25312.78</v>
      </c>
      <c r="G35" s="12" t="n">
        <v>24370.3</v>
      </c>
      <c r="H35" s="12" t="n">
        <v>42321.154</v>
      </c>
      <c r="I35" s="12" t="n">
        <v>32873.4</v>
      </c>
      <c r="J35" s="12" t="n">
        <v>40155.27</v>
      </c>
      <c r="K35" s="12" t="n">
        <v>77397.875</v>
      </c>
      <c r="L35" s="12" t="n">
        <v>45828.148</v>
      </c>
      <c r="M35" s="12" t="n">
        <v>262952.785</v>
      </c>
      <c r="N35" s="12" t="n">
        <v>600714.58</v>
      </c>
      <c r="O35" s="12" t="n">
        <v>664471.825</v>
      </c>
      <c r="P35" s="12" t="n">
        <v>1023075.525</v>
      </c>
      <c r="Q35" s="12" t="n">
        <v>516955.684</v>
      </c>
      <c r="R35" s="12" t="n">
        <v>691969.816</v>
      </c>
      <c r="S35" s="12" t="n">
        <v>279841.053</v>
      </c>
      <c r="T35" s="12" t="n">
        <v>452692.74</v>
      </c>
      <c r="U35" s="12" t="n">
        <v>258546.71</v>
      </c>
      <c r="V35" s="12" t="n">
        <v>365897.806</v>
      </c>
      <c r="W35" s="12" t="n">
        <v>200947.808</v>
      </c>
      <c r="X35" s="12" t="n">
        <v>213648.743</v>
      </c>
      <c r="Y35" s="12" t="n">
        <v>56366.6</v>
      </c>
      <c r="Z35" s="12" t="n">
        <v>49023.038</v>
      </c>
      <c r="AA35" s="12" t="n"/>
      <c r="AB35" s="12" t="n"/>
      <c r="AC35" s="12" t="n"/>
      <c r="AD35" s="12" t="n"/>
      <c r="AE35" s="13">
        <f>SUM(C35,E35,G35,I35,K35,M35,O35,Q35,S35,U35,W35,Y35,AA35,AC35)</f>
        <v/>
      </c>
      <c r="AF35" s="13">
        <f>SUM(D35,F35,H35,J35,L35,N35,P35,R35,T35,V35,X35,Z35,AB35,AD35)</f>
        <v/>
      </c>
      <c r="AG35" s="13">
        <f>AE35+AF35</f>
        <v/>
      </c>
    </row>
    <row r="36">
      <c r="A36" s="5" t="n">
        <v>31</v>
      </c>
      <c r="B36" s="27" t="inlineStr">
        <is>
          <t>İskenderun Liman</t>
        </is>
      </c>
      <c r="C36" s="7" t="n">
        <v>63899.194</v>
      </c>
      <c r="D36" s="7" t="n">
        <v>143530.325</v>
      </c>
      <c r="E36" s="7" t="n">
        <v>110830.852</v>
      </c>
      <c r="F36" s="7" t="n">
        <v>121501.81</v>
      </c>
      <c r="G36" s="7" t="n">
        <v>189742.55</v>
      </c>
      <c r="H36" s="7" t="n">
        <v>19080.1</v>
      </c>
      <c r="I36" s="7" t="n">
        <v>263431.77</v>
      </c>
      <c r="J36" s="7" t="n">
        <v>58180.16</v>
      </c>
      <c r="K36" s="7" t="n">
        <v>246701.615</v>
      </c>
      <c r="L36" s="7" t="n">
        <v>150527.97</v>
      </c>
      <c r="M36" s="7" t="n">
        <v>288003.47</v>
      </c>
      <c r="N36" s="7" t="n">
        <v>236807.37</v>
      </c>
      <c r="O36" s="7" t="n">
        <v>358453.53</v>
      </c>
      <c r="P36" s="7" t="n">
        <v>482936.47</v>
      </c>
      <c r="Q36" s="7" t="n">
        <v>266067.006</v>
      </c>
      <c r="R36" s="7" t="n">
        <v>431047.08</v>
      </c>
      <c r="S36" s="7" t="n">
        <v>169696.507</v>
      </c>
      <c r="T36" s="7" t="n">
        <v>408684.636</v>
      </c>
      <c r="U36" s="7" t="n">
        <v>206381.051</v>
      </c>
      <c r="V36" s="7" t="n">
        <v>470463.051</v>
      </c>
      <c r="W36" s="7" t="n">
        <v>86189.675</v>
      </c>
      <c r="X36" s="7" t="n">
        <v>118872.34</v>
      </c>
      <c r="Y36" s="7" t="n">
        <v>50508.624</v>
      </c>
      <c r="Z36" s="7" t="n">
        <v>61051.748</v>
      </c>
      <c r="AA36" s="7" t="n">
        <v>97913.83500000001</v>
      </c>
      <c r="AB36" s="7" t="n">
        <v>65351.225</v>
      </c>
      <c r="AC36" s="7" t="n">
        <v>155750.549</v>
      </c>
      <c r="AD36" s="7" t="n">
        <v>111057.825</v>
      </c>
      <c r="AE36" s="8">
        <f>SUM(C36,E36,G36,I36,K36,M36,O36,Q36,S36,U36,W36,Y36,AA36,AC36)</f>
        <v/>
      </c>
      <c r="AF36" s="8">
        <f>SUM(D36,F36,H36,J36,L36,N36,P36,R36,T36,V36,X36,Z36,AB36,AD36)</f>
        <v/>
      </c>
      <c r="AG36" s="8">
        <f>AE36+AF36</f>
        <v/>
      </c>
    </row>
    <row r="37">
      <c r="A37" s="10" t="n">
        <v>32</v>
      </c>
      <c r="B37" s="28" t="inlineStr">
        <is>
          <t>Divriği</t>
        </is>
      </c>
      <c r="C37" s="12" t="n">
        <v>242935.35</v>
      </c>
      <c r="D37" s="12" t="n">
        <v>41360.53</v>
      </c>
      <c r="E37" s="12" t="n">
        <v>456125.42</v>
      </c>
      <c r="F37" s="12" t="n">
        <v>23537.499</v>
      </c>
      <c r="G37" s="12" t="n">
        <v>374541.42</v>
      </c>
      <c r="H37" s="12" t="n">
        <v>38494.65</v>
      </c>
      <c r="I37" s="12" t="n">
        <v>444904.89</v>
      </c>
      <c r="J37" s="12" t="n">
        <v>35768.92</v>
      </c>
      <c r="K37" s="12" t="n">
        <v>529376.5159999999</v>
      </c>
      <c r="L37" s="12" t="n">
        <v>76339.205</v>
      </c>
      <c r="M37" s="12" t="n">
        <v>401684.525</v>
      </c>
      <c r="N37" s="12" t="n">
        <v>74115.734</v>
      </c>
      <c r="O37" s="12" t="n">
        <v>421711.19</v>
      </c>
      <c r="P37" s="12" t="n">
        <v>85782.27</v>
      </c>
      <c r="Q37" s="12" t="n">
        <v>394982.565</v>
      </c>
      <c r="R37" s="12" t="n">
        <v>68570.99000000001</v>
      </c>
      <c r="S37" s="12" t="n">
        <v>364446.495</v>
      </c>
      <c r="T37" s="12" t="n">
        <v>78218.89</v>
      </c>
      <c r="U37" s="12" t="n">
        <v>307902.845</v>
      </c>
      <c r="V37" s="12" t="n">
        <v>61541.595</v>
      </c>
      <c r="W37" s="12" t="n">
        <v>260033.01</v>
      </c>
      <c r="X37" s="12" t="n">
        <v>27187.354</v>
      </c>
      <c r="Y37" s="12" t="n">
        <v>212493.79</v>
      </c>
      <c r="Z37" s="12" t="n">
        <v>15613.08</v>
      </c>
      <c r="AA37" s="12" t="n">
        <v>223740.65</v>
      </c>
      <c r="AB37" s="12" t="n">
        <v>13162.035</v>
      </c>
      <c r="AC37" s="12" t="n">
        <v>104003.95</v>
      </c>
      <c r="AD37" s="12" t="n">
        <v>4729.72</v>
      </c>
      <c r="AE37" s="13">
        <f>SUM(C37,E37,G37,I37,K37,M37,O37,Q37,S37,U37,W37,Y37,AA37,AC37)</f>
        <v/>
      </c>
      <c r="AF37" s="13">
        <f>SUM(D37,F37,H37,J37,L37,N37,P37,R37,T37,V37,X37,Z37,AB37,AD37)</f>
        <v/>
      </c>
      <c r="AG37" s="13">
        <f>AE37+AF37</f>
        <v/>
      </c>
    </row>
    <row r="38">
      <c r="A38" s="5" t="n">
        <v>33</v>
      </c>
      <c r="B38" s="27" t="inlineStr">
        <is>
          <t>Sazılar</t>
        </is>
      </c>
      <c r="C38" s="7" t="n">
        <v>62035.157</v>
      </c>
      <c r="D38" s="7" t="n">
        <v>212.99</v>
      </c>
      <c r="E38" s="7" t="n">
        <v>49979.93</v>
      </c>
      <c r="F38" s="7" t="n">
        <v>14926.5</v>
      </c>
      <c r="G38" s="7" t="n">
        <v>113954.46</v>
      </c>
      <c r="H38" s="7" t="n">
        <v>19765</v>
      </c>
      <c r="I38" s="7" t="n">
        <v>175790.5</v>
      </c>
      <c r="J38" s="7" t="n">
        <v>29590.84</v>
      </c>
      <c r="K38" s="7" t="n">
        <v>230096.51</v>
      </c>
      <c r="L38" s="7" t="n">
        <v>35828.4</v>
      </c>
      <c r="M38" s="7" t="n">
        <v>275369.58</v>
      </c>
      <c r="N38" s="7" t="n">
        <v>43562.4</v>
      </c>
      <c r="O38" s="7" t="n">
        <v>260735.79</v>
      </c>
      <c r="P38" s="7" t="n">
        <v>41286.64</v>
      </c>
      <c r="Q38" s="7" t="n">
        <v>275465.935</v>
      </c>
      <c r="R38" s="7" t="n">
        <v>33492.45</v>
      </c>
      <c r="S38" s="7" t="n">
        <v>432188.623</v>
      </c>
      <c r="T38" s="7" t="n">
        <v>42690</v>
      </c>
      <c r="U38" s="7" t="n">
        <v>689992.232</v>
      </c>
      <c r="V38" s="7" t="n">
        <v>80190</v>
      </c>
      <c r="W38" s="7" t="n">
        <v>857442.7120000001</v>
      </c>
      <c r="X38" s="7" t="n">
        <v>112246.26</v>
      </c>
      <c r="Y38" s="7" t="n">
        <v>782095.248</v>
      </c>
      <c r="Z38" s="7" t="n">
        <v>118706.805</v>
      </c>
      <c r="AA38" s="7" t="n">
        <v>350029.273</v>
      </c>
      <c r="AB38" s="7" t="n">
        <v>45879.96</v>
      </c>
      <c r="AC38" s="7" t="n">
        <v>148807.29</v>
      </c>
      <c r="AD38" s="7" t="n">
        <v>16652.94</v>
      </c>
      <c r="AE38" s="8">
        <f>SUM(C38,E38,G38,I38,K38,M38,O38,Q38,S38,U38,W38,Y38,AA38,AC38)</f>
        <v/>
      </c>
      <c r="AF38" s="8">
        <f>SUM(D38,F38,H38,J38,L38,N38,P38,R38,T38,V38,X38,Z38,AB38,AD38)</f>
        <v/>
      </c>
      <c r="AG38" s="8">
        <f>AE38+AF38</f>
        <v/>
      </c>
    </row>
    <row r="39">
      <c r="A39" s="10" t="n">
        <v>34</v>
      </c>
      <c r="B39" s="28" t="inlineStr">
        <is>
          <t>Ulukışla</t>
        </is>
      </c>
      <c r="C39" s="12" t="n">
        <v>307598.94</v>
      </c>
      <c r="D39" s="12" t="n">
        <v>32580.371</v>
      </c>
      <c r="E39" s="12" t="n">
        <v>565700.5</v>
      </c>
      <c r="F39" s="12" t="n">
        <v>82140.962</v>
      </c>
      <c r="G39" s="12" t="n">
        <v>244200.69</v>
      </c>
      <c r="H39" s="12" t="n">
        <v>32955.75</v>
      </c>
      <c r="I39" s="12" t="n">
        <v>309230.88</v>
      </c>
      <c r="J39" s="12" t="n">
        <v>46638.645</v>
      </c>
      <c r="K39" s="12" t="n">
        <v>503333.29</v>
      </c>
      <c r="L39" s="12" t="n">
        <v>81179.72900000001</v>
      </c>
      <c r="M39" s="12" t="n">
        <v>327370.47</v>
      </c>
      <c r="N39" s="12" t="n">
        <v>115873.96</v>
      </c>
      <c r="O39" s="12" t="n">
        <v>236317.115</v>
      </c>
      <c r="P39" s="12" t="n">
        <v>105135.765</v>
      </c>
      <c r="Q39" s="12" t="n">
        <v>374482.5</v>
      </c>
      <c r="R39" s="12" t="n">
        <v>71478.64</v>
      </c>
      <c r="S39" s="12" t="n">
        <v>431887.95</v>
      </c>
      <c r="T39" s="12" t="n">
        <v>105310.81</v>
      </c>
      <c r="U39" s="12" t="n">
        <v>373074.123</v>
      </c>
      <c r="V39" s="12" t="n">
        <v>75948.94</v>
      </c>
      <c r="W39" s="12" t="n">
        <v>311096.14</v>
      </c>
      <c r="X39" s="12" t="n">
        <v>56127.28</v>
      </c>
      <c r="Y39" s="12" t="n">
        <v>182917.7</v>
      </c>
      <c r="Z39" s="12" t="n">
        <v>30009.26</v>
      </c>
      <c r="AA39" s="12" t="n">
        <v>196337.695</v>
      </c>
      <c r="AB39" s="12" t="n">
        <v>37048.228</v>
      </c>
      <c r="AC39" s="12" t="n">
        <v>73098.322</v>
      </c>
      <c r="AD39" s="12" t="n">
        <v>15001.905</v>
      </c>
      <c r="AE39" s="13">
        <f>SUM(C39,E39,G39,I39,K39,M39,O39,Q39,S39,U39,W39,Y39,AA39,AC39)</f>
        <v/>
      </c>
      <c r="AF39" s="13">
        <f>SUM(D39,F39,H39,J39,L39,N39,P39,R39,T39,V39,X39,Z39,AB39,AD39)</f>
        <v/>
      </c>
      <c r="AG39" s="13">
        <f>AE39+AF39</f>
        <v/>
      </c>
    </row>
    <row r="40">
      <c r="A40" s="5" t="n">
        <v>35</v>
      </c>
      <c r="B40" s="27" t="inlineStr">
        <is>
          <t>Gelemen</t>
        </is>
      </c>
      <c r="C40" s="7" t="n">
        <v>260536.732</v>
      </c>
      <c r="D40" s="7" t="n">
        <v>243880.33</v>
      </c>
      <c r="E40" s="7" t="n"/>
      <c r="F40" s="7" t="n"/>
      <c r="G40" s="7" t="n"/>
      <c r="H40" s="7" t="n"/>
      <c r="I40" s="7" t="n"/>
      <c r="J40" s="7" t="n"/>
      <c r="K40" s="7" t="n"/>
      <c r="L40" s="7" t="n"/>
      <c r="M40" s="7" t="n"/>
      <c r="N40" s="7" t="n"/>
      <c r="O40" s="7" t="n"/>
      <c r="P40" s="7" t="n"/>
      <c r="Q40" s="7" t="n">
        <v>15220.305</v>
      </c>
      <c r="R40" s="7" t="n">
        <v>35980.55</v>
      </c>
      <c r="S40" s="7" t="n">
        <v>193713.205</v>
      </c>
      <c r="T40" s="7" t="n">
        <v>449446.063</v>
      </c>
      <c r="U40" s="7" t="n">
        <v>216363.788</v>
      </c>
      <c r="V40" s="7" t="n">
        <v>507911.35</v>
      </c>
      <c r="W40" s="7" t="n">
        <v>293806.065</v>
      </c>
      <c r="X40" s="7" t="n">
        <v>757653.575</v>
      </c>
      <c r="Y40" s="7" t="n">
        <v>273891.73</v>
      </c>
      <c r="Z40" s="7" t="n">
        <v>477456.738</v>
      </c>
      <c r="AA40" s="7" t="n">
        <v>339881.527</v>
      </c>
      <c r="AB40" s="7" t="n">
        <v>787895.525</v>
      </c>
      <c r="AC40" s="7" t="n">
        <v>186786.021</v>
      </c>
      <c r="AD40" s="7" t="n">
        <v>242367.93</v>
      </c>
      <c r="AE40" s="8">
        <f>SUM(C40,E40,G40,I40,K40,M40,O40,Q40,S40,U40,W40,Y40,AA40,AC40)</f>
        <v/>
      </c>
      <c r="AF40" s="8">
        <f>SUM(D40,F40,H40,J40,L40,N40,P40,R40,T40,V40,X40,Z40,AB40,AD40)</f>
        <v/>
      </c>
      <c r="AG40" s="8">
        <f>AE40+AF40</f>
        <v/>
      </c>
    </row>
    <row r="41">
      <c r="A41" s="10" t="n">
        <v>36</v>
      </c>
      <c r="B41" s="28" t="inlineStr">
        <is>
          <t>Kurşunlu</t>
        </is>
      </c>
      <c r="C41" s="12" t="n">
        <v>109481.54</v>
      </c>
      <c r="D41" s="12" t="n">
        <v>22058.59</v>
      </c>
      <c r="E41" s="12" t="n">
        <v>8148.5</v>
      </c>
      <c r="F41" s="12" t="n">
        <v>3216.81</v>
      </c>
      <c r="G41" s="12" t="n">
        <v>4265.46</v>
      </c>
      <c r="H41" s="12" t="n">
        <v>3053.41</v>
      </c>
      <c r="I41" s="12" t="n"/>
      <c r="J41" s="12" t="n"/>
      <c r="K41" s="12" t="n">
        <v>9896.85</v>
      </c>
      <c r="L41" s="12" t="n">
        <v>1651.395</v>
      </c>
      <c r="M41" s="12" t="n">
        <v>130526.4</v>
      </c>
      <c r="N41" s="12" t="n">
        <v>23464.5</v>
      </c>
      <c r="O41" s="12" t="n">
        <v>382085</v>
      </c>
      <c r="P41" s="12" t="n">
        <v>76267.60000000001</v>
      </c>
      <c r="Q41" s="12" t="n">
        <v>583099</v>
      </c>
      <c r="R41" s="12" t="n">
        <v>106923.8</v>
      </c>
      <c r="S41" s="12" t="n">
        <v>608188.5</v>
      </c>
      <c r="T41" s="12" t="n">
        <v>99885.5</v>
      </c>
      <c r="U41" s="12" t="n">
        <v>523203</v>
      </c>
      <c r="V41" s="12" t="n">
        <v>86325</v>
      </c>
      <c r="W41" s="12" t="n">
        <v>413340.95</v>
      </c>
      <c r="X41" s="12" t="n">
        <v>73030</v>
      </c>
      <c r="Y41" s="12" t="n">
        <v>548240.8199999999</v>
      </c>
      <c r="Z41" s="12" t="n">
        <v>173151.072</v>
      </c>
      <c r="AA41" s="12" t="n">
        <v>487755.5</v>
      </c>
      <c r="AB41" s="12" t="n">
        <v>211328.65</v>
      </c>
      <c r="AC41" s="12" t="n">
        <v>368877.47</v>
      </c>
      <c r="AD41" s="12" t="n">
        <v>78291.94</v>
      </c>
      <c r="AE41" s="13">
        <f>SUM(C41,E41,G41,I41,K41,M41,O41,Q41,S41,U41,W41,Y41,AA41,AC41)</f>
        <v/>
      </c>
      <c r="AF41" s="13">
        <f>SUM(D41,F41,H41,J41,L41,N41,P41,R41,T41,V41,X41,Z41,AB41,AD41)</f>
        <v/>
      </c>
      <c r="AG41" s="13">
        <f>AE41+AF41</f>
        <v/>
      </c>
    </row>
    <row r="42">
      <c r="A42" s="5" t="n">
        <v>37</v>
      </c>
      <c r="B42" s="27" t="inlineStr">
        <is>
          <t>Çerkezköy</t>
        </is>
      </c>
      <c r="C42" s="7" t="n">
        <v>137506.089</v>
      </c>
      <c r="D42" s="7" t="n">
        <v>261473.116</v>
      </c>
      <c r="E42" s="7" t="n">
        <v>199970.642</v>
      </c>
      <c r="F42" s="7" t="n">
        <v>323633.817</v>
      </c>
      <c r="G42" s="7" t="n">
        <v>256964.515</v>
      </c>
      <c r="H42" s="7" t="n">
        <v>550760.819</v>
      </c>
      <c r="I42" s="7" t="n">
        <v>104368.574</v>
      </c>
      <c r="J42" s="7" t="n">
        <v>250711.63</v>
      </c>
      <c r="K42" s="7" t="n">
        <v>80301.889</v>
      </c>
      <c r="L42" s="7" t="n">
        <v>140947.082</v>
      </c>
      <c r="M42" s="7" t="n">
        <v>181398.777</v>
      </c>
      <c r="N42" s="7" t="n">
        <v>213767.917</v>
      </c>
      <c r="O42" s="7" t="n">
        <v>225348.667</v>
      </c>
      <c r="P42" s="7" t="n">
        <v>304487.548</v>
      </c>
      <c r="Q42" s="7" t="n">
        <v>247911.428</v>
      </c>
      <c r="R42" s="7" t="n">
        <v>338888.604</v>
      </c>
      <c r="S42" s="7" t="n">
        <v>199012.934</v>
      </c>
      <c r="T42" s="7" t="n">
        <v>293019.132</v>
      </c>
      <c r="U42" s="7" t="n">
        <v>151765.113</v>
      </c>
      <c r="V42" s="7" t="n">
        <v>198038.69</v>
      </c>
      <c r="W42" s="7" t="n">
        <v>69679.719</v>
      </c>
      <c r="X42" s="7" t="n">
        <v>72221.893</v>
      </c>
      <c r="Y42" s="7" t="n">
        <v>50910.427</v>
      </c>
      <c r="Z42" s="7" t="n">
        <v>36410.781</v>
      </c>
      <c r="AA42" s="7" t="n">
        <v>42777.197</v>
      </c>
      <c r="AB42" s="7" t="n">
        <v>25143.546</v>
      </c>
      <c r="AC42" s="7" t="n">
        <v>7425.366</v>
      </c>
      <c r="AD42" s="7" t="n">
        <v>1090.686</v>
      </c>
      <c r="AE42" s="8">
        <f>SUM(C42,E42,G42,I42,K42,M42,O42,Q42,S42,U42,W42,Y42,AA42,AC42)</f>
        <v/>
      </c>
      <c r="AF42" s="8">
        <f>SUM(D42,F42,H42,J42,L42,N42,P42,R42,T42,V42,X42,Z42,AB42,AD42)</f>
        <v/>
      </c>
      <c r="AG42" s="8">
        <f>AE42+AF42</f>
        <v/>
      </c>
    </row>
    <row r="43">
      <c r="A43" s="10" t="n">
        <v>38</v>
      </c>
      <c r="B43" s="28" t="inlineStr">
        <is>
          <t>Mersin Liman</t>
        </is>
      </c>
      <c r="C43" s="12" t="n"/>
      <c r="D43" s="12" t="n"/>
      <c r="E43" s="12" t="n"/>
      <c r="F43" s="12" t="n"/>
      <c r="G43" s="12" t="n"/>
      <c r="H43" s="12" t="n"/>
      <c r="I43" s="12" t="n"/>
      <c r="J43" s="12" t="n"/>
      <c r="K43" s="12" t="n"/>
      <c r="L43" s="12" t="n"/>
      <c r="M43" s="12" t="n"/>
      <c r="N43" s="12" t="n">
        <v>1065.6</v>
      </c>
      <c r="O43" s="12" t="n"/>
      <c r="P43" s="12" t="n"/>
      <c r="Q43" s="12" t="n">
        <v>373499.002</v>
      </c>
      <c r="R43" s="12" t="n">
        <v>458421.256</v>
      </c>
      <c r="S43" s="12" t="n">
        <v>496954.289</v>
      </c>
      <c r="T43" s="12" t="n">
        <v>528126.183</v>
      </c>
      <c r="U43" s="12" t="n">
        <v>515223.651</v>
      </c>
      <c r="V43" s="12" t="n">
        <v>615328.079</v>
      </c>
      <c r="W43" s="12" t="n">
        <v>687952.6459999999</v>
      </c>
      <c r="X43" s="12" t="n">
        <v>791866.231</v>
      </c>
      <c r="Y43" s="12" t="n">
        <v>165829.862</v>
      </c>
      <c r="Z43" s="12" t="n">
        <v>210204.823</v>
      </c>
      <c r="AA43" s="12" t="n"/>
      <c r="AB43" s="12" t="n"/>
      <c r="AC43" s="12" t="n"/>
      <c r="AD43" s="12" t="n"/>
      <c r="AE43" s="13">
        <f>SUM(C43,E43,G43,I43,K43,M43,O43,Q43,S43,U43,W43,Y43,AA43,AC43)</f>
        <v/>
      </c>
      <c r="AF43" s="13">
        <f>SUM(D43,F43,H43,J43,L43,N43,P43,R43,T43,V43,X43,Z43,AB43,AD43)</f>
        <v/>
      </c>
      <c r="AG43" s="13">
        <f>AE43+AF43</f>
        <v/>
      </c>
    </row>
    <row r="44">
      <c r="A44" s="5" t="n">
        <v>39</v>
      </c>
      <c r="B44" s="27" t="inlineStr">
        <is>
          <t>İskenderun</t>
        </is>
      </c>
      <c r="C44" s="7" t="n">
        <v>39712.344</v>
      </c>
      <c r="D44" s="7" t="n">
        <v>197743.597</v>
      </c>
      <c r="E44" s="7" t="n">
        <v>66129.893</v>
      </c>
      <c r="F44" s="7" t="n">
        <v>176990.828</v>
      </c>
      <c r="G44" s="7" t="n">
        <v>104528.335</v>
      </c>
      <c r="H44" s="7" t="n">
        <v>204608.362</v>
      </c>
      <c r="I44" s="7" t="n">
        <v>106895.24</v>
      </c>
      <c r="J44" s="7" t="n">
        <v>190824.05</v>
      </c>
      <c r="K44" s="7" t="n">
        <v>113882.256</v>
      </c>
      <c r="L44" s="7" t="n">
        <v>247805.207</v>
      </c>
      <c r="M44" s="7" t="n">
        <v>129217.854</v>
      </c>
      <c r="N44" s="7" t="n">
        <v>264467.735</v>
      </c>
      <c r="O44" s="7" t="n">
        <v>159216.453</v>
      </c>
      <c r="P44" s="7" t="n">
        <v>273705.575</v>
      </c>
      <c r="Q44" s="7" t="n">
        <v>145567.458</v>
      </c>
      <c r="R44" s="7" t="n">
        <v>248265.024</v>
      </c>
      <c r="S44" s="7" t="n">
        <v>168917.036</v>
      </c>
      <c r="T44" s="7" t="n">
        <v>330134.818</v>
      </c>
      <c r="U44" s="7" t="n">
        <v>163799.928</v>
      </c>
      <c r="V44" s="7" t="n">
        <v>235115.444</v>
      </c>
      <c r="W44" s="7" t="n">
        <v>93027.5</v>
      </c>
      <c r="X44" s="7" t="n">
        <v>145667.622</v>
      </c>
      <c r="Y44" s="7" t="n">
        <v>98909.163</v>
      </c>
      <c r="Z44" s="7" t="n">
        <v>244538.876</v>
      </c>
      <c r="AA44" s="7" t="n">
        <v>142468.581</v>
      </c>
      <c r="AB44" s="7" t="n">
        <v>233663.701</v>
      </c>
      <c r="AC44" s="7" t="n">
        <v>113862.129</v>
      </c>
      <c r="AD44" s="7" t="n">
        <v>177557.671</v>
      </c>
      <c r="AE44" s="8">
        <f>SUM(C44,E44,G44,I44,K44,M44,O44,Q44,S44,U44,W44,Y44,AA44,AC44)</f>
        <v/>
      </c>
      <c r="AF44" s="8">
        <f>SUM(D44,F44,H44,J44,L44,N44,P44,R44,T44,V44,X44,Z44,AB44,AD44)</f>
        <v/>
      </c>
      <c r="AG44" s="8">
        <f>AE44+AF44</f>
        <v/>
      </c>
    </row>
    <row r="45">
      <c r="A45" s="10" t="n">
        <v>40</v>
      </c>
      <c r="B45" s="28" t="inlineStr">
        <is>
          <t>Taşkent</t>
        </is>
      </c>
      <c r="C45" s="12" t="n">
        <v>362699.444</v>
      </c>
      <c r="D45" s="12" t="n">
        <v>404319.863</v>
      </c>
      <c r="E45" s="12" t="n">
        <v>349712.07</v>
      </c>
      <c r="F45" s="12" t="n">
        <v>398890.785</v>
      </c>
      <c r="G45" s="12" t="n">
        <v>288629.705</v>
      </c>
      <c r="H45" s="12" t="n">
        <v>368937.416</v>
      </c>
      <c r="I45" s="12" t="n">
        <v>392885.945</v>
      </c>
      <c r="J45" s="12" t="n">
        <v>295108.685</v>
      </c>
      <c r="K45" s="12" t="n">
        <v>62333.28</v>
      </c>
      <c r="L45" s="12" t="n">
        <v>256714.045</v>
      </c>
      <c r="M45" s="12" t="n">
        <v>71637.848</v>
      </c>
      <c r="N45" s="12" t="n">
        <v>278751.61</v>
      </c>
      <c r="O45" s="12" t="n">
        <v>47488.518</v>
      </c>
      <c r="P45" s="12" t="n">
        <v>164423.735</v>
      </c>
      <c r="Q45" s="12" t="n">
        <v>63893.465</v>
      </c>
      <c r="R45" s="12" t="n">
        <v>265474.793</v>
      </c>
      <c r="S45" s="12" t="n">
        <v>56477.737</v>
      </c>
      <c r="T45" s="12" t="n">
        <v>271119.18</v>
      </c>
      <c r="U45" s="12" t="n">
        <v>49700.108</v>
      </c>
      <c r="V45" s="12" t="n">
        <v>252172.927</v>
      </c>
      <c r="W45" s="12" t="n">
        <v>18616.334</v>
      </c>
      <c r="X45" s="12" t="n">
        <v>31668.89</v>
      </c>
      <c r="Y45" s="12" t="n">
        <v>0</v>
      </c>
      <c r="Z45" s="12" t="n"/>
      <c r="AA45" s="12" t="n"/>
      <c r="AB45" s="12" t="n"/>
      <c r="AC45" s="12" t="n"/>
      <c r="AD45" s="12" t="n"/>
      <c r="AE45" s="13">
        <f>SUM(C45,E45,G45,I45,K45,M45,O45,Q45,S45,U45,W45,Y45,AA45,AC45)</f>
        <v/>
      </c>
      <c r="AF45" s="13">
        <f>SUM(D45,F45,H45,J45,L45,N45,P45,R45,T45,V45,X45,Z45,AB45,AD45)</f>
        <v/>
      </c>
      <c r="AG45" s="13">
        <f>AE45+AF45</f>
        <v/>
      </c>
    </row>
    <row r="46">
      <c r="A46" s="5" t="n">
        <v>41</v>
      </c>
      <c r="B46" s="27" t="inlineStr">
        <is>
          <t>Van</t>
        </is>
      </c>
      <c r="C46" s="7" t="n">
        <v>49348.439</v>
      </c>
      <c r="D46" s="7" t="n">
        <v>133088.972</v>
      </c>
      <c r="E46" s="7" t="n">
        <v>159874.993</v>
      </c>
      <c r="F46" s="7" t="n">
        <v>225148.959</v>
      </c>
      <c r="G46" s="7" t="n">
        <v>219622.105</v>
      </c>
      <c r="H46" s="7" t="n">
        <v>203320.87</v>
      </c>
      <c r="I46" s="7" t="n">
        <v>254326.473</v>
      </c>
      <c r="J46" s="7" t="n">
        <v>119787.859</v>
      </c>
      <c r="K46" s="7" t="n">
        <v>469969.352</v>
      </c>
      <c r="L46" s="7" t="n">
        <v>151535.035</v>
      </c>
      <c r="M46" s="7" t="n">
        <v>260673.094</v>
      </c>
      <c r="N46" s="7" t="n">
        <v>257845.443</v>
      </c>
      <c r="O46" s="7" t="n">
        <v>141063.223</v>
      </c>
      <c r="P46" s="7" t="n">
        <v>149153.448</v>
      </c>
      <c r="Q46" s="7" t="n">
        <v>143436.035</v>
      </c>
      <c r="R46" s="7" t="n">
        <v>169149.732</v>
      </c>
      <c r="S46" s="7" t="n">
        <v>189427.838</v>
      </c>
      <c r="T46" s="7" t="n">
        <v>173368.099</v>
      </c>
      <c r="U46" s="7" t="n">
        <v>141738.252</v>
      </c>
      <c r="V46" s="7" t="n">
        <v>151247.954</v>
      </c>
      <c r="W46" s="7" t="n">
        <v>144459.291</v>
      </c>
      <c r="X46" s="7" t="n">
        <v>142026.162</v>
      </c>
      <c r="Y46" s="7" t="n">
        <v>196441.613</v>
      </c>
      <c r="Z46" s="7" t="n">
        <v>172660.068</v>
      </c>
      <c r="AA46" s="7" t="n">
        <v>90224.303</v>
      </c>
      <c r="AB46" s="7" t="n">
        <v>82170.905</v>
      </c>
      <c r="AC46" s="7" t="n">
        <v>58675.392</v>
      </c>
      <c r="AD46" s="7" t="n">
        <v>59580.476</v>
      </c>
      <c r="AE46" s="8">
        <f>SUM(C46,E46,G46,I46,K46,M46,O46,Q46,S46,U46,W46,Y46,AA46,AC46)</f>
        <v/>
      </c>
      <c r="AF46" s="8">
        <f>SUM(D46,F46,H46,J46,L46,N46,P46,R46,T46,V46,X46,Z46,AB46,AD46)</f>
        <v/>
      </c>
      <c r="AG46" s="8">
        <f>AE46+AF46</f>
        <v/>
      </c>
    </row>
    <row r="47">
      <c r="A47" s="10" t="n">
        <v>42</v>
      </c>
      <c r="B47" s="28" t="inlineStr">
        <is>
          <t>Derince</t>
        </is>
      </c>
      <c r="C47" s="12" t="n">
        <v>473.3</v>
      </c>
      <c r="D47" s="12" t="n">
        <v>4006.36</v>
      </c>
      <c r="E47" s="12" t="n">
        <v>62131.945</v>
      </c>
      <c r="F47" s="12" t="n">
        <v>30105.824</v>
      </c>
      <c r="G47" s="12" t="n">
        <v>111425.166</v>
      </c>
      <c r="H47" s="12" t="n">
        <v>48620.457</v>
      </c>
      <c r="I47" s="12" t="n">
        <v>63611.879</v>
      </c>
      <c r="J47" s="12" t="n">
        <v>58086.302</v>
      </c>
      <c r="K47" s="12" t="n">
        <v>86883.705</v>
      </c>
      <c r="L47" s="12" t="n">
        <v>143216.775</v>
      </c>
      <c r="M47" s="12" t="n">
        <v>113837.869</v>
      </c>
      <c r="N47" s="12" t="n">
        <v>132968.081</v>
      </c>
      <c r="O47" s="12" t="n">
        <v>130333.147</v>
      </c>
      <c r="P47" s="12" t="n">
        <v>99077.22</v>
      </c>
      <c r="Q47" s="12" t="n">
        <v>166901.715</v>
      </c>
      <c r="R47" s="12" t="n">
        <v>212926.072</v>
      </c>
      <c r="S47" s="12" t="n">
        <v>176845.94</v>
      </c>
      <c r="T47" s="12" t="n">
        <v>399522.669</v>
      </c>
      <c r="U47" s="12" t="n">
        <v>222252.432</v>
      </c>
      <c r="V47" s="12" t="n">
        <v>647524.097</v>
      </c>
      <c r="W47" s="12" t="n">
        <v>183873.461</v>
      </c>
      <c r="X47" s="12" t="n">
        <v>493078.504</v>
      </c>
      <c r="Y47" s="12" t="n">
        <v>130700.274</v>
      </c>
      <c r="Z47" s="12" t="n">
        <v>363219.632</v>
      </c>
      <c r="AA47" s="12" t="n">
        <v>63138.341</v>
      </c>
      <c r="AB47" s="12" t="n">
        <v>177239.834</v>
      </c>
      <c r="AC47" s="12" t="n">
        <v>62454.344</v>
      </c>
      <c r="AD47" s="12" t="n">
        <v>203296.639</v>
      </c>
      <c r="AE47" s="13">
        <f>SUM(C47,E47,G47,I47,K47,M47,O47,Q47,S47,U47,W47,Y47,AA47,AC47)</f>
        <v/>
      </c>
      <c r="AF47" s="13">
        <f>SUM(D47,F47,H47,J47,L47,N47,P47,R47,T47,V47,X47,Z47,AB47,AD47)</f>
        <v/>
      </c>
      <c r="AG47" s="13">
        <f>AE47+AF47</f>
        <v/>
      </c>
    </row>
    <row r="48">
      <c r="A48" s="5" t="n">
        <v>43</v>
      </c>
      <c r="B48" s="27" t="inlineStr">
        <is>
          <t>Köseköy</t>
        </is>
      </c>
      <c r="C48" s="7" t="n">
        <v>6566.511</v>
      </c>
      <c r="D48" s="7" t="n">
        <v>6821</v>
      </c>
      <c r="E48" s="7" t="n">
        <v>55673.879</v>
      </c>
      <c r="F48" s="7" t="n">
        <v>66274.791</v>
      </c>
      <c r="G48" s="7" t="n">
        <v>139067.932</v>
      </c>
      <c r="H48" s="7" t="n">
        <v>206348.01</v>
      </c>
      <c r="I48" s="7" t="n">
        <v>115343.564</v>
      </c>
      <c r="J48" s="7" t="n">
        <v>235847.972</v>
      </c>
      <c r="K48" s="7" t="n">
        <v>87121.954</v>
      </c>
      <c r="L48" s="7" t="n">
        <v>229372.133</v>
      </c>
      <c r="M48" s="7" t="n">
        <v>88483.796</v>
      </c>
      <c r="N48" s="7" t="n">
        <v>242725.735</v>
      </c>
      <c r="O48" s="7" t="n">
        <v>60991.813</v>
      </c>
      <c r="P48" s="7" t="n">
        <v>224706.512</v>
      </c>
      <c r="Q48" s="7" t="n">
        <v>68269.277</v>
      </c>
      <c r="R48" s="7" t="n">
        <v>219410.776</v>
      </c>
      <c r="S48" s="7" t="n">
        <v>108442.603</v>
      </c>
      <c r="T48" s="7" t="n">
        <v>335206.879</v>
      </c>
      <c r="U48" s="7" t="n">
        <v>139651.749</v>
      </c>
      <c r="V48" s="7" t="n">
        <v>348841.698</v>
      </c>
      <c r="W48" s="7" t="n">
        <v>133323.284</v>
      </c>
      <c r="X48" s="7" t="n">
        <v>333425.597</v>
      </c>
      <c r="Y48" s="7" t="n">
        <v>80702.322</v>
      </c>
      <c r="Z48" s="7" t="n">
        <v>240997.487</v>
      </c>
      <c r="AA48" s="7" t="n">
        <v>78701.53999999999</v>
      </c>
      <c r="AB48" s="7" t="n">
        <v>244214.659</v>
      </c>
      <c r="AC48" s="7" t="n">
        <v>51730.451</v>
      </c>
      <c r="AD48" s="7" t="n">
        <v>105138.782</v>
      </c>
      <c r="AE48" s="8">
        <f>SUM(C48,E48,G48,I48,K48,M48,O48,Q48,S48,U48,W48,Y48,AA48,AC48)</f>
        <v/>
      </c>
      <c r="AF48" s="8">
        <f>SUM(D48,F48,H48,J48,L48,N48,P48,R48,T48,V48,X48,Z48,AB48,AD48)</f>
        <v/>
      </c>
      <c r="AG48" s="8">
        <f>AE48+AF48</f>
        <v/>
      </c>
    </row>
    <row r="49">
      <c r="A49" s="10" t="n">
        <v>44</v>
      </c>
      <c r="B49" s="28" t="inlineStr">
        <is>
          <t>Ortaklar</t>
        </is>
      </c>
      <c r="C49" s="12" t="n">
        <v>1415.71</v>
      </c>
      <c r="D49" s="12" t="n">
        <v>2039.175</v>
      </c>
      <c r="E49" s="12" t="n">
        <v>7535.203</v>
      </c>
      <c r="F49" s="12" t="n">
        <v>25734</v>
      </c>
      <c r="G49" s="12" t="n">
        <v>24454.99</v>
      </c>
      <c r="H49" s="12" t="n">
        <v>35776.23</v>
      </c>
      <c r="I49" s="12" t="n">
        <v>24233.56</v>
      </c>
      <c r="J49" s="12" t="n">
        <v>23453.51</v>
      </c>
      <c r="K49" s="12" t="n">
        <v>94216.65399999999</v>
      </c>
      <c r="L49" s="12" t="n">
        <v>140703.519</v>
      </c>
      <c r="M49" s="12" t="n">
        <v>77289.05</v>
      </c>
      <c r="N49" s="12" t="n">
        <v>89582.46799999999</v>
      </c>
      <c r="O49" s="12" t="n">
        <v>213794.75</v>
      </c>
      <c r="P49" s="12" t="n">
        <v>154369.05</v>
      </c>
      <c r="Q49" s="12" t="n">
        <v>230865.62</v>
      </c>
      <c r="R49" s="12" t="n">
        <v>244766.79</v>
      </c>
      <c r="S49" s="12" t="n">
        <v>573977.575</v>
      </c>
      <c r="T49" s="12" t="n">
        <v>254168.4</v>
      </c>
      <c r="U49" s="12" t="n">
        <v>685860.789</v>
      </c>
      <c r="V49" s="12" t="n">
        <v>373053.462</v>
      </c>
      <c r="W49" s="12" t="n">
        <v>582536.813</v>
      </c>
      <c r="X49" s="12" t="n">
        <v>238494.658</v>
      </c>
      <c r="Y49" s="12" t="n">
        <v>89514.122</v>
      </c>
      <c r="Z49" s="12" t="n">
        <v>27274.51</v>
      </c>
      <c r="AA49" s="12" t="n">
        <v>226.31</v>
      </c>
      <c r="AB49" s="12" t="n">
        <v>318.285</v>
      </c>
      <c r="AC49" s="12" t="n">
        <v>325</v>
      </c>
      <c r="AD49" s="12" t="n"/>
      <c r="AE49" s="13">
        <f>SUM(C49,E49,G49,I49,K49,M49,O49,Q49,S49,U49,W49,Y49,AA49,AC49)</f>
        <v/>
      </c>
      <c r="AF49" s="13">
        <f>SUM(D49,F49,H49,J49,L49,N49,P49,R49,T49,V49,X49,Z49,AB49,AD49)</f>
        <v/>
      </c>
      <c r="AG49" s="13">
        <f>AE49+AF49</f>
        <v/>
      </c>
    </row>
    <row r="50">
      <c r="A50" s="5" t="n">
        <v>45</v>
      </c>
      <c r="B50" s="27" t="inlineStr">
        <is>
          <t>Artova</t>
        </is>
      </c>
      <c r="C50" s="7" t="n">
        <v>293968.34</v>
      </c>
      <c r="D50" s="7" t="n">
        <v>192893.5</v>
      </c>
      <c r="E50" s="7" t="n">
        <v>222304.73</v>
      </c>
      <c r="F50" s="7" t="n">
        <v>195414.655</v>
      </c>
      <c r="G50" s="7" t="n">
        <v>154265.46</v>
      </c>
      <c r="H50" s="7" t="n">
        <v>145205.234</v>
      </c>
      <c r="I50" s="7" t="n"/>
      <c r="J50" s="7" t="n"/>
      <c r="K50" s="7" t="n"/>
      <c r="L50" s="7" t="n"/>
      <c r="M50" s="7" t="n"/>
      <c r="N50" s="7" t="n"/>
      <c r="O50" s="7" t="n"/>
      <c r="P50" s="7" t="n"/>
      <c r="Q50" s="7" t="n">
        <v>16356.005</v>
      </c>
      <c r="R50" s="7" t="n">
        <v>13249.67</v>
      </c>
      <c r="S50" s="7" t="n">
        <v>249158.42</v>
      </c>
      <c r="T50" s="7" t="n">
        <v>147968.09</v>
      </c>
      <c r="U50" s="7" t="n">
        <v>358768.545</v>
      </c>
      <c r="V50" s="7" t="n">
        <v>185370.35</v>
      </c>
      <c r="W50" s="7" t="n">
        <v>536692.2</v>
      </c>
      <c r="X50" s="7" t="n">
        <v>238194.601</v>
      </c>
      <c r="Y50" s="7" t="n">
        <v>182118.7</v>
      </c>
      <c r="Z50" s="7" t="n">
        <v>164726.31</v>
      </c>
      <c r="AA50" s="7" t="n">
        <v>459297.55</v>
      </c>
      <c r="AB50" s="7" t="n">
        <v>204107.43</v>
      </c>
      <c r="AC50" s="7" t="n">
        <v>146562.95</v>
      </c>
      <c r="AD50" s="7" t="n">
        <v>108738.71</v>
      </c>
      <c r="AE50" s="8">
        <f>SUM(C50,E50,G50,I50,K50,M50,O50,Q50,S50,U50,W50,Y50,AA50,AC50)</f>
        <v/>
      </c>
      <c r="AF50" s="8">
        <f>SUM(D50,F50,H50,J50,L50,N50,P50,R50,T50,V50,X50,Z50,AB50,AD50)</f>
        <v/>
      </c>
      <c r="AG50" s="8">
        <f>AE50+AF50</f>
        <v/>
      </c>
    </row>
    <row r="51">
      <c r="A51" s="10" t="n">
        <v>46</v>
      </c>
      <c r="B51" s="28" t="inlineStr">
        <is>
          <t>Harput</t>
        </is>
      </c>
      <c r="C51" s="12" t="n">
        <v>2900</v>
      </c>
      <c r="D51" s="12" t="n">
        <v>46829.5</v>
      </c>
      <c r="E51" s="12" t="n">
        <v>4723</v>
      </c>
      <c r="F51" s="12" t="n">
        <v>144867.8</v>
      </c>
      <c r="G51" s="12" t="n">
        <v>415.3</v>
      </c>
      <c r="H51" s="12" t="n">
        <v>177915.08</v>
      </c>
      <c r="I51" s="12" t="n">
        <v>33462.09</v>
      </c>
      <c r="J51" s="12" t="n">
        <v>149265.3</v>
      </c>
      <c r="K51" s="12" t="n">
        <v>54673.831</v>
      </c>
      <c r="L51" s="12" t="n">
        <v>235773.53</v>
      </c>
      <c r="M51" s="12" t="n">
        <v>42174.945</v>
      </c>
      <c r="N51" s="12" t="n">
        <v>293117.696</v>
      </c>
      <c r="O51" s="12" t="n">
        <v>34688</v>
      </c>
      <c r="P51" s="12" t="n">
        <v>196160.99</v>
      </c>
      <c r="Q51" s="12" t="n">
        <v>44351.45</v>
      </c>
      <c r="R51" s="12" t="n">
        <v>306302.91</v>
      </c>
      <c r="S51" s="12" t="n">
        <v>74723.81</v>
      </c>
      <c r="T51" s="12" t="n">
        <v>423023.484</v>
      </c>
      <c r="U51" s="12" t="n">
        <v>54985.55</v>
      </c>
      <c r="V51" s="12" t="n">
        <v>290840.225</v>
      </c>
      <c r="W51" s="12" t="n">
        <v>59422.5</v>
      </c>
      <c r="X51" s="12" t="n">
        <v>326375.208</v>
      </c>
      <c r="Y51" s="12" t="n">
        <v>66391.2</v>
      </c>
      <c r="Z51" s="12" t="n">
        <v>377575.615</v>
      </c>
      <c r="AA51" s="12" t="n">
        <v>79860.24000000001</v>
      </c>
      <c r="AB51" s="12" t="n">
        <v>448017.92</v>
      </c>
      <c r="AC51" s="12" t="n">
        <v>34223.2</v>
      </c>
      <c r="AD51" s="12" t="n">
        <v>195564.002</v>
      </c>
      <c r="AE51" s="13">
        <f>SUM(C51,E51,G51,I51,K51,M51,O51,Q51,S51,U51,W51,Y51,AA51,AC51)</f>
        <v/>
      </c>
      <c r="AF51" s="13">
        <f>SUM(D51,F51,H51,J51,L51,N51,P51,R51,T51,V51,X51,Z51,AB51,AD51)</f>
        <v/>
      </c>
      <c r="AG51" s="13">
        <f>AE51+AF51</f>
        <v/>
      </c>
    </row>
    <row r="52">
      <c r="A52" s="5" t="n">
        <v>47</v>
      </c>
      <c r="B52" s="27" t="inlineStr">
        <is>
          <t>Tekirdağ</t>
        </is>
      </c>
      <c r="C52" s="7" t="n"/>
      <c r="D52" s="7" t="n">
        <v>878.888</v>
      </c>
      <c r="E52" s="7" t="n"/>
      <c r="F52" s="7" t="n">
        <v>769</v>
      </c>
      <c r="G52" s="7" t="n">
        <v>3843.627</v>
      </c>
      <c r="H52" s="7" t="n">
        <v>774.1609999999999</v>
      </c>
      <c r="I52" s="7" t="n">
        <v>59.75</v>
      </c>
      <c r="J52" s="7" t="n">
        <v>215.31</v>
      </c>
      <c r="K52" s="7" t="n">
        <v>2</v>
      </c>
      <c r="L52" s="7" t="n">
        <v>433.5</v>
      </c>
      <c r="M52" s="7" t="n">
        <v>12</v>
      </c>
      <c r="N52" s="7" t="n">
        <v>1170.71</v>
      </c>
      <c r="O52" s="7" t="n">
        <v>33</v>
      </c>
      <c r="P52" s="7" t="n">
        <v>1077.14</v>
      </c>
      <c r="Q52" s="7" t="n">
        <v>67714.641</v>
      </c>
      <c r="R52" s="7" t="n">
        <v>132371.566</v>
      </c>
      <c r="S52" s="7" t="n">
        <v>288506.74</v>
      </c>
      <c r="T52" s="7" t="n">
        <v>436157.358</v>
      </c>
      <c r="U52" s="7" t="n">
        <v>282087.99</v>
      </c>
      <c r="V52" s="7" t="n">
        <v>416465.837</v>
      </c>
      <c r="W52" s="7" t="n">
        <v>281445.815</v>
      </c>
      <c r="X52" s="7" t="n">
        <v>356946.481</v>
      </c>
      <c r="Y52" s="7" t="n">
        <v>355731.632</v>
      </c>
      <c r="Z52" s="7" t="n">
        <v>433649.517</v>
      </c>
      <c r="AA52" s="7" t="n">
        <v>316341.962</v>
      </c>
      <c r="AB52" s="7" t="n">
        <v>416575.696</v>
      </c>
      <c r="AC52" s="7" t="n">
        <v>159408.274</v>
      </c>
      <c r="AD52" s="7" t="n">
        <v>171610.208</v>
      </c>
      <c r="AE52" s="8">
        <f>SUM(C52,E52,G52,I52,K52,M52,O52,Q52,S52,U52,W52,Y52,AA52,AC52)</f>
        <v/>
      </c>
      <c r="AF52" s="8">
        <f>SUM(D52,F52,H52,J52,L52,N52,P52,R52,T52,V52,X52,Z52,AB52,AD52)</f>
        <v/>
      </c>
      <c r="AG52" s="8">
        <f>AE52+AF52</f>
        <v/>
      </c>
    </row>
    <row r="53">
      <c r="A53" s="10" t="n">
        <v>48</v>
      </c>
      <c r="B53" s="28" t="inlineStr">
        <is>
          <t>Kemaliye Çaltı</t>
        </is>
      </c>
      <c r="C53" s="12" t="n">
        <v>86242.87</v>
      </c>
      <c r="D53" s="12" t="n">
        <v>16755.3</v>
      </c>
      <c r="E53" s="12" t="n">
        <v>80755.85000000001</v>
      </c>
      <c r="F53" s="12" t="n">
        <v>203.4</v>
      </c>
      <c r="G53" s="12" t="n">
        <v>33354.75</v>
      </c>
      <c r="H53" s="12" t="n">
        <v>1352.209</v>
      </c>
      <c r="I53" s="12" t="n">
        <v>48851.05</v>
      </c>
      <c r="J53" s="12" t="n">
        <v>29.1</v>
      </c>
      <c r="K53" s="12" t="n">
        <v>94930.895</v>
      </c>
      <c r="L53" s="12" t="n">
        <v>156</v>
      </c>
      <c r="M53" s="12" t="n">
        <v>269879.92</v>
      </c>
      <c r="N53" s="12" t="n">
        <v>24</v>
      </c>
      <c r="O53" s="12" t="n">
        <v>497816.94</v>
      </c>
      <c r="P53" s="12" t="n">
        <v>10</v>
      </c>
      <c r="Q53" s="12" t="n">
        <v>591080.5</v>
      </c>
      <c r="R53" s="12" t="n">
        <v>1887.275</v>
      </c>
      <c r="S53" s="12" t="n">
        <v>726898.865</v>
      </c>
      <c r="T53" s="12" t="n">
        <v>1770</v>
      </c>
      <c r="U53" s="12" t="n">
        <v>416125.62</v>
      </c>
      <c r="V53" s="12" t="n"/>
      <c r="W53" s="12" t="n">
        <v>283274.21</v>
      </c>
      <c r="X53" s="12" t="n"/>
      <c r="Y53" s="12" t="n">
        <v>207132.93</v>
      </c>
      <c r="Z53" s="12" t="n"/>
      <c r="AA53" s="12" t="n">
        <v>353021.62</v>
      </c>
      <c r="AB53" s="12" t="n">
        <v>24308</v>
      </c>
      <c r="AC53" s="12" t="n">
        <v>331567.326</v>
      </c>
      <c r="AD53" s="12" t="n">
        <v>41120</v>
      </c>
      <c r="AE53" s="13">
        <f>SUM(C53,E53,G53,I53,K53,M53,O53,Q53,S53,U53,W53,Y53,AA53,AC53)</f>
        <v/>
      </c>
      <c r="AF53" s="13">
        <f>SUM(D53,F53,H53,J53,L53,N53,P53,R53,T53,V53,X53,Z53,AB53,AD53)</f>
        <v/>
      </c>
      <c r="AG53" s="13">
        <f>AE53+AF53</f>
        <v/>
      </c>
    </row>
    <row r="54">
      <c r="A54" s="5" t="n">
        <v>49</v>
      </c>
      <c r="B54" s="27" t="inlineStr">
        <is>
          <t>Edirne</t>
        </is>
      </c>
      <c r="C54" s="7" t="n">
        <v>5456.912</v>
      </c>
      <c r="D54" s="7" t="n">
        <v>114849.478</v>
      </c>
      <c r="E54" s="7" t="n">
        <v>2461.91</v>
      </c>
      <c r="F54" s="7" t="n">
        <v>84102.16899999999</v>
      </c>
      <c r="G54" s="7" t="n">
        <v>24152.257</v>
      </c>
      <c r="H54" s="7" t="n">
        <v>83912.67</v>
      </c>
      <c r="I54" s="7" t="n">
        <v>123088.314</v>
      </c>
      <c r="J54" s="7" t="n">
        <v>88041.765</v>
      </c>
      <c r="K54" s="7" t="n">
        <v>162980.1</v>
      </c>
      <c r="L54" s="7" t="n">
        <v>139704.222</v>
      </c>
      <c r="M54" s="7" t="n">
        <v>416250.1</v>
      </c>
      <c r="N54" s="7" t="n">
        <v>163306.049</v>
      </c>
      <c r="O54" s="7" t="n">
        <v>443095.379</v>
      </c>
      <c r="P54" s="7" t="n">
        <v>211885.975</v>
      </c>
      <c r="Q54" s="7" t="n">
        <v>372951.701</v>
      </c>
      <c r="R54" s="7" t="n">
        <v>225455.867</v>
      </c>
      <c r="S54" s="7" t="n">
        <v>312693.303</v>
      </c>
      <c r="T54" s="7" t="n">
        <v>190635.72</v>
      </c>
      <c r="U54" s="7" t="n">
        <v>75669.76300000001</v>
      </c>
      <c r="V54" s="7" t="n">
        <v>135600.034</v>
      </c>
      <c r="W54" s="7" t="n">
        <v>53862.816</v>
      </c>
      <c r="X54" s="7" t="n">
        <v>136840.338</v>
      </c>
      <c r="Y54" s="7" t="n">
        <v>64510.96</v>
      </c>
      <c r="Z54" s="7" t="n">
        <v>103154.79</v>
      </c>
      <c r="AA54" s="7" t="n">
        <v>34628.19</v>
      </c>
      <c r="AB54" s="7" t="n">
        <v>119877.899</v>
      </c>
      <c r="AC54" s="7" t="n">
        <v>44524.12</v>
      </c>
      <c r="AD54" s="7" t="n">
        <v>122440.119</v>
      </c>
      <c r="AE54" s="8">
        <f>SUM(C54,E54,G54,I54,K54,M54,O54,Q54,S54,U54,W54,Y54,AA54,AC54)</f>
        <v/>
      </c>
      <c r="AF54" s="8">
        <f>SUM(D54,F54,H54,J54,L54,N54,P54,R54,T54,V54,X54,Z54,AB54,AD54)</f>
        <v/>
      </c>
      <c r="AG54" s="8">
        <f>AE54+AF54</f>
        <v/>
      </c>
    </row>
    <row r="55">
      <c r="A55" s="10" t="n">
        <v>50</v>
      </c>
      <c r="B55" s="28" t="inlineStr">
        <is>
          <t>Sarayköy</t>
        </is>
      </c>
      <c r="C55" s="12" t="n">
        <v>159969.17</v>
      </c>
      <c r="D55" s="12" t="n">
        <v>134527.218</v>
      </c>
      <c r="E55" s="12" t="n">
        <v>194162.94</v>
      </c>
      <c r="F55" s="12" t="n">
        <v>164945.75</v>
      </c>
      <c r="G55" s="12" t="n">
        <v>177309.468</v>
      </c>
      <c r="H55" s="12" t="n">
        <v>135081.969</v>
      </c>
      <c r="I55" s="12" t="n">
        <v>237474.704</v>
      </c>
      <c r="J55" s="12" t="n">
        <v>110042.214</v>
      </c>
      <c r="K55" s="12" t="n">
        <v>238761.19</v>
      </c>
      <c r="L55" s="12" t="n">
        <v>112927.108</v>
      </c>
      <c r="M55" s="12" t="n">
        <v>258882.21</v>
      </c>
      <c r="N55" s="12" t="n">
        <v>113485.94</v>
      </c>
      <c r="O55" s="12" t="n">
        <v>229322.06</v>
      </c>
      <c r="P55" s="12" t="n">
        <v>116381.735</v>
      </c>
      <c r="Q55" s="12" t="n">
        <v>202481.511</v>
      </c>
      <c r="R55" s="12" t="n">
        <v>114511.44</v>
      </c>
      <c r="S55" s="12" t="n">
        <v>179361.564</v>
      </c>
      <c r="T55" s="12" t="n">
        <v>83012.772</v>
      </c>
      <c r="U55" s="12" t="n">
        <v>163152.564</v>
      </c>
      <c r="V55" s="12" t="n">
        <v>95510.709</v>
      </c>
      <c r="W55" s="12" t="n">
        <v>195031.687</v>
      </c>
      <c r="X55" s="12" t="n">
        <v>63966.539</v>
      </c>
      <c r="Y55" s="12" t="n">
        <v>139819.379</v>
      </c>
      <c r="Z55" s="12" t="n">
        <v>38921.24</v>
      </c>
      <c r="AA55" s="12" t="n">
        <v>148496.433</v>
      </c>
      <c r="AB55" s="12" t="n">
        <v>39719.923</v>
      </c>
      <c r="AC55" s="12" t="n">
        <v>94489.482</v>
      </c>
      <c r="AD55" s="12" t="n">
        <v>31231.691</v>
      </c>
      <c r="AE55" s="13">
        <f>SUM(C55,E55,G55,I55,K55,M55,O55,Q55,S55,U55,W55,Y55,AA55,AC55)</f>
        <v/>
      </c>
      <c r="AF55" s="13">
        <f>SUM(D55,F55,H55,J55,L55,N55,P55,R55,T55,V55,X55,Z55,AB55,AD55)</f>
        <v/>
      </c>
      <c r="AG55" s="13">
        <f>AE55+AF55</f>
        <v/>
      </c>
    </row>
    <row r="56">
      <c r="A56" s="5" t="n">
        <v>51</v>
      </c>
      <c r="B56" s="27" t="inlineStr">
        <is>
          <t>Halkapınar</t>
        </is>
      </c>
      <c r="C56" s="7" t="n">
        <v>813634.5</v>
      </c>
      <c r="D56" s="7" t="n">
        <v>172960.85</v>
      </c>
      <c r="E56" s="7" t="n">
        <v>372988.495</v>
      </c>
      <c r="F56" s="7" t="n">
        <v>122365.916</v>
      </c>
      <c r="G56" s="7" t="n">
        <v>425098.21</v>
      </c>
      <c r="H56" s="7" t="n">
        <v>88811.34</v>
      </c>
      <c r="I56" s="7" t="n">
        <v>503822.06</v>
      </c>
      <c r="J56" s="7" t="n">
        <v>118503.45</v>
      </c>
      <c r="K56" s="7" t="n">
        <v>355312.877</v>
      </c>
      <c r="L56" s="7" t="n">
        <v>114098.657</v>
      </c>
      <c r="M56" s="7" t="n">
        <v>177537.012</v>
      </c>
      <c r="N56" s="7" t="n">
        <v>59966.804</v>
      </c>
      <c r="O56" s="7" t="n">
        <v>144228.952</v>
      </c>
      <c r="P56" s="7" t="n">
        <v>49801.998</v>
      </c>
      <c r="Q56" s="7" t="n">
        <v>111816.52</v>
      </c>
      <c r="R56" s="7" t="n">
        <v>32092.525</v>
      </c>
      <c r="S56" s="7" t="n">
        <v>112541.863</v>
      </c>
      <c r="T56" s="7" t="n">
        <v>26487.939</v>
      </c>
      <c r="U56" s="7" t="n">
        <v>70245.38099999999</v>
      </c>
      <c r="V56" s="7" t="n">
        <v>22468.829</v>
      </c>
      <c r="W56" s="7" t="n">
        <v>4591.46</v>
      </c>
      <c r="X56" s="7" t="n">
        <v>10082.164</v>
      </c>
      <c r="Y56" s="7" t="n">
        <v>177.14</v>
      </c>
      <c r="Z56" s="7" t="n">
        <v>9529.519</v>
      </c>
      <c r="AA56" s="7" t="n"/>
      <c r="AB56" s="7" t="n">
        <v>9845.078</v>
      </c>
      <c r="AC56" s="7" t="n"/>
      <c r="AD56" s="7" t="n">
        <v>5576.181</v>
      </c>
      <c r="AE56" s="8">
        <f>SUM(C56,E56,G56,I56,K56,M56,O56,Q56,S56,U56,W56,Y56,AA56,AC56)</f>
        <v/>
      </c>
      <c r="AF56" s="8">
        <f>SUM(D56,F56,H56,J56,L56,N56,P56,R56,T56,V56,X56,Z56,AB56,AD56)</f>
        <v/>
      </c>
      <c r="AG56" s="8">
        <f>AE56+AF56</f>
        <v/>
      </c>
    </row>
    <row r="57">
      <c r="A57" s="10" t="n">
        <v>52</v>
      </c>
      <c r="B57" s="28" t="inlineStr">
        <is>
          <t>Horozluhan</t>
        </is>
      </c>
      <c r="C57" s="12" t="n">
        <v>128483.565</v>
      </c>
      <c r="D57" s="12" t="n">
        <v>244165.95</v>
      </c>
      <c r="E57" s="12" t="n">
        <v>122789.05</v>
      </c>
      <c r="F57" s="12" t="n">
        <v>224922.877</v>
      </c>
      <c r="G57" s="12" t="n">
        <v>133167.619</v>
      </c>
      <c r="H57" s="12" t="n">
        <v>242732.702</v>
      </c>
      <c r="I57" s="12" t="n">
        <v>136801.885</v>
      </c>
      <c r="J57" s="12" t="n">
        <v>217927.167</v>
      </c>
      <c r="K57" s="12" t="n">
        <v>209291.685</v>
      </c>
      <c r="L57" s="12" t="n">
        <v>405576.512</v>
      </c>
      <c r="M57" s="12" t="n">
        <v>277111.534</v>
      </c>
      <c r="N57" s="12" t="n">
        <v>380207.92</v>
      </c>
      <c r="O57" s="12" t="n">
        <v>261591.26</v>
      </c>
      <c r="P57" s="12" t="n">
        <v>269049.031</v>
      </c>
      <c r="Q57" s="12" t="n">
        <v>227485.542</v>
      </c>
      <c r="R57" s="12" t="n">
        <v>223855.577</v>
      </c>
      <c r="S57" s="12" t="n">
        <v>124828.908</v>
      </c>
      <c r="T57" s="12" t="n">
        <v>96304.109</v>
      </c>
      <c r="U57" s="12" t="n"/>
      <c r="V57" s="12" t="n"/>
      <c r="W57" s="12" t="n"/>
      <c r="X57" s="12" t="n"/>
      <c r="Y57" s="12" t="n"/>
      <c r="Z57" s="12" t="n"/>
      <c r="AA57" s="12" t="n"/>
      <c r="AB57" s="12" t="n"/>
      <c r="AC57" s="12" t="n"/>
      <c r="AD57" s="12" t="n"/>
      <c r="AE57" s="13">
        <f>SUM(C57,E57,G57,I57,K57,M57,O57,Q57,S57,U57,W57,Y57,AA57,AC57)</f>
        <v/>
      </c>
      <c r="AF57" s="13">
        <f>SUM(D57,F57,H57,J57,L57,N57,P57,R57,T57,V57,X57,Z57,AB57,AD57)</f>
        <v/>
      </c>
      <c r="AG57" s="13">
        <f>AE57+AF57</f>
        <v/>
      </c>
    </row>
    <row r="58">
      <c r="A58" s="5" t="n">
        <v>53</v>
      </c>
      <c r="B58" s="27" t="inlineStr">
        <is>
          <t>Soma</t>
        </is>
      </c>
      <c r="C58" s="7" t="n">
        <v>267490.87</v>
      </c>
      <c r="D58" s="7" t="n">
        <v>6560.8</v>
      </c>
      <c r="E58" s="7" t="n">
        <v>307684.48</v>
      </c>
      <c r="F58" s="7" t="n">
        <v>55681.455</v>
      </c>
      <c r="G58" s="7" t="n">
        <v>259749.872</v>
      </c>
      <c r="H58" s="7" t="n">
        <v>25264.931</v>
      </c>
      <c r="I58" s="7" t="n">
        <v>325781.07</v>
      </c>
      <c r="J58" s="7" t="n">
        <v>10592.91</v>
      </c>
      <c r="K58" s="7" t="n">
        <v>279880.2</v>
      </c>
      <c r="L58" s="7" t="n">
        <v>13320.544</v>
      </c>
      <c r="M58" s="7" t="n">
        <v>378582</v>
      </c>
      <c r="N58" s="7" t="n">
        <v>17454.88</v>
      </c>
      <c r="O58" s="7" t="n">
        <v>287095.5</v>
      </c>
      <c r="P58" s="7" t="n">
        <v>18312.735</v>
      </c>
      <c r="Q58" s="7" t="n">
        <v>333224.67</v>
      </c>
      <c r="R58" s="7" t="n">
        <v>12108</v>
      </c>
      <c r="S58" s="7" t="n">
        <v>371074.73</v>
      </c>
      <c r="T58" s="7" t="n">
        <v>11838.74</v>
      </c>
      <c r="U58" s="7" t="n">
        <v>379889.22</v>
      </c>
      <c r="V58" s="7" t="n">
        <v>30296.425</v>
      </c>
      <c r="W58" s="7" t="n">
        <v>203712.37</v>
      </c>
      <c r="X58" s="7" t="n">
        <v>2388.21</v>
      </c>
      <c r="Y58" s="7" t="n">
        <v>145498.405</v>
      </c>
      <c r="Z58" s="7" t="n">
        <v>104</v>
      </c>
      <c r="AA58" s="7" t="n">
        <v>121287.25</v>
      </c>
      <c r="AB58" s="7" t="n">
        <v>990.155</v>
      </c>
      <c r="AC58" s="7" t="n">
        <v>38703.058</v>
      </c>
      <c r="AD58" s="7" t="n">
        <v>419.38</v>
      </c>
      <c r="AE58" s="8">
        <f>SUM(C58,E58,G58,I58,K58,M58,O58,Q58,S58,U58,W58,Y58,AA58,AC58)</f>
        <v/>
      </c>
      <c r="AF58" s="8">
        <f>SUM(D58,F58,H58,J58,L58,N58,P58,R58,T58,V58,X58,Z58,AB58,AD58)</f>
        <v/>
      </c>
      <c r="AG58" s="8">
        <f>AE58+AF58</f>
        <v/>
      </c>
    </row>
    <row r="59">
      <c r="A59" s="10" t="n">
        <v>54</v>
      </c>
      <c r="B59" s="28" t="inlineStr">
        <is>
          <t>Körfez</t>
        </is>
      </c>
      <c r="C59" s="12" t="n"/>
      <c r="D59" s="12" t="n"/>
      <c r="E59" s="12" t="n"/>
      <c r="F59" s="12" t="n"/>
      <c r="G59" s="12" t="n"/>
      <c r="H59" s="12" t="n"/>
      <c r="I59" s="12" t="n"/>
      <c r="J59" s="12" t="n"/>
      <c r="K59" s="12" t="n"/>
      <c r="L59" s="12" t="n"/>
      <c r="M59" s="12" t="n"/>
      <c r="N59" s="12" t="n"/>
      <c r="O59" s="12" t="n">
        <v>69358.398</v>
      </c>
      <c r="P59" s="12" t="n">
        <v>40723.665</v>
      </c>
      <c r="Q59" s="12" t="n">
        <v>394341.991</v>
      </c>
      <c r="R59" s="12" t="n">
        <v>311940.375</v>
      </c>
      <c r="S59" s="12" t="n">
        <v>524483.519</v>
      </c>
      <c r="T59" s="12" t="n">
        <v>428679.18</v>
      </c>
      <c r="U59" s="12" t="n">
        <v>218891.265</v>
      </c>
      <c r="V59" s="12" t="n">
        <v>313849.706</v>
      </c>
      <c r="W59" s="12" t="n">
        <v>241175.479</v>
      </c>
      <c r="X59" s="12" t="n">
        <v>249886.509</v>
      </c>
      <c r="Y59" s="12" t="n">
        <v>218103.417</v>
      </c>
      <c r="Z59" s="12" t="n">
        <v>238066.015</v>
      </c>
      <c r="AA59" s="12" t="n">
        <v>128361.521</v>
      </c>
      <c r="AB59" s="12" t="n">
        <v>207137.575</v>
      </c>
      <c r="AC59" s="12" t="n">
        <v>59909.26</v>
      </c>
      <c r="AD59" s="12" t="n">
        <v>121420.209</v>
      </c>
      <c r="AE59" s="13">
        <f>SUM(C59,E59,G59,I59,K59,M59,O59,Q59,S59,U59,W59,Y59,AA59,AC59)</f>
        <v/>
      </c>
      <c r="AF59" s="13">
        <f>SUM(D59,F59,H59,J59,L59,N59,P59,R59,T59,V59,X59,Z59,AB59,AD59)</f>
        <v/>
      </c>
      <c r="AG59" s="13">
        <f>AE59+AF59</f>
        <v/>
      </c>
    </row>
    <row r="60">
      <c r="A60" s="5" t="n">
        <v>55</v>
      </c>
      <c r="B60" s="27" t="inlineStr">
        <is>
          <t>Çukurhisar</t>
        </is>
      </c>
      <c r="C60" s="7" t="n">
        <v>366374.051</v>
      </c>
      <c r="D60" s="7" t="n">
        <v>190522.782</v>
      </c>
      <c r="E60" s="7" t="n">
        <v>317555.805</v>
      </c>
      <c r="F60" s="7" t="n">
        <v>146199.505</v>
      </c>
      <c r="G60" s="7" t="n">
        <v>362305.342</v>
      </c>
      <c r="H60" s="7" t="n">
        <v>145777.825</v>
      </c>
      <c r="I60" s="7" t="n">
        <v>319822.439</v>
      </c>
      <c r="J60" s="7" t="n">
        <v>125004.209</v>
      </c>
      <c r="K60" s="7" t="n">
        <v>159388.744</v>
      </c>
      <c r="L60" s="7" t="n">
        <v>81334.842</v>
      </c>
      <c r="M60" s="7" t="n">
        <v>168906.34</v>
      </c>
      <c r="N60" s="7" t="n">
        <v>106247.782</v>
      </c>
      <c r="O60" s="7" t="n">
        <v>108893.256</v>
      </c>
      <c r="P60" s="7" t="n">
        <v>78730.405</v>
      </c>
      <c r="Q60" s="7" t="n">
        <v>126263.188</v>
      </c>
      <c r="R60" s="7" t="n">
        <v>97328.81</v>
      </c>
      <c r="S60" s="7" t="n">
        <v>194187.893</v>
      </c>
      <c r="T60" s="7" t="n">
        <v>85108.55499999999</v>
      </c>
      <c r="U60" s="7" t="n">
        <v>121166.721</v>
      </c>
      <c r="V60" s="7" t="n">
        <v>40772.12</v>
      </c>
      <c r="W60" s="7" t="n">
        <v>80552.262</v>
      </c>
      <c r="X60" s="7" t="n">
        <v>46474.063</v>
      </c>
      <c r="Y60" s="7" t="n">
        <v>63934.217</v>
      </c>
      <c r="Z60" s="7" t="n">
        <v>37303.75</v>
      </c>
      <c r="AA60" s="7" t="n">
        <v>23785.275</v>
      </c>
      <c r="AB60" s="7" t="n">
        <v>14773.35</v>
      </c>
      <c r="AC60" s="7" t="n">
        <v>12598.27</v>
      </c>
      <c r="AD60" s="7" t="n">
        <v>5896.255</v>
      </c>
      <c r="AE60" s="8">
        <f>SUM(C60,E60,G60,I60,K60,M60,O60,Q60,S60,U60,W60,Y60,AA60,AC60)</f>
        <v/>
      </c>
      <c r="AF60" s="8">
        <f>SUM(D60,F60,H60,J60,L60,N60,P60,R60,T60,V60,X60,Z60,AB60,AD60)</f>
        <v/>
      </c>
      <c r="AG60" s="8">
        <f>AE60+AF60</f>
        <v/>
      </c>
    </row>
    <row r="61">
      <c r="A61" s="10" t="n">
        <v>56</v>
      </c>
      <c r="B61" s="28" t="inlineStr">
        <is>
          <t>İmamköy</t>
        </is>
      </c>
      <c r="C61" s="12" t="n"/>
      <c r="D61" s="12" t="n"/>
      <c r="E61" s="12" t="n">
        <v>82389.5</v>
      </c>
      <c r="F61" s="12" t="n">
        <v>22624.219</v>
      </c>
      <c r="G61" s="12" t="n">
        <v>193461.45</v>
      </c>
      <c r="H61" s="12" t="n">
        <v>48693.788</v>
      </c>
      <c r="I61" s="12" t="n">
        <v>245773.56</v>
      </c>
      <c r="J61" s="12" t="n">
        <v>50905.795</v>
      </c>
      <c r="K61" s="12" t="n">
        <v>300581.875</v>
      </c>
      <c r="L61" s="12" t="n">
        <v>59878.805</v>
      </c>
      <c r="M61" s="12" t="n">
        <v>309312.09</v>
      </c>
      <c r="N61" s="12" t="n">
        <v>59998.3</v>
      </c>
      <c r="O61" s="12" t="n">
        <v>353702.09</v>
      </c>
      <c r="P61" s="12" t="n">
        <v>72562.17999999999</v>
      </c>
      <c r="Q61" s="12" t="n">
        <v>327359.76</v>
      </c>
      <c r="R61" s="12" t="n">
        <v>61641</v>
      </c>
      <c r="S61" s="12" t="n">
        <v>385446.74</v>
      </c>
      <c r="T61" s="12" t="n">
        <v>73976.28</v>
      </c>
      <c r="U61" s="12" t="n">
        <v>317489.567</v>
      </c>
      <c r="V61" s="12" t="n">
        <v>64988.085</v>
      </c>
      <c r="W61" s="12" t="n">
        <v>155628.24</v>
      </c>
      <c r="X61" s="12" t="n">
        <v>31161.052</v>
      </c>
      <c r="Y61" s="12" t="n">
        <v>125812.927</v>
      </c>
      <c r="Z61" s="12" t="n">
        <v>24504.54</v>
      </c>
      <c r="AA61" s="12" t="n">
        <v>33550.508</v>
      </c>
      <c r="AB61" s="12" t="n">
        <v>9059.360000000001</v>
      </c>
      <c r="AC61" s="12" t="n">
        <v>34982.07</v>
      </c>
      <c r="AD61" s="12" t="n">
        <v>7306.55</v>
      </c>
      <c r="AE61" s="13">
        <f>SUM(C61,E61,G61,I61,K61,M61,O61,Q61,S61,U61,W61,Y61,AA61,AC61)</f>
        <v/>
      </c>
      <c r="AF61" s="13">
        <f>SUM(D61,F61,H61,J61,L61,N61,P61,R61,T61,V61,X61,Z61,AB61,AD61)</f>
        <v/>
      </c>
      <c r="AG61" s="13">
        <f>AE61+AF61</f>
        <v/>
      </c>
    </row>
    <row r="62">
      <c r="A62" s="5" t="n">
        <v>57</v>
      </c>
      <c r="B62" s="27" t="inlineStr">
        <is>
          <t>Işıkveren</t>
        </is>
      </c>
      <c r="C62" s="7" t="n"/>
      <c r="D62" s="7" t="n">
        <v>471546.57</v>
      </c>
      <c r="E62" s="7" t="n"/>
      <c r="F62" s="7" t="n">
        <v>436543.665</v>
      </c>
      <c r="G62" s="7" t="n"/>
      <c r="H62" s="7" t="n">
        <v>310206.52</v>
      </c>
      <c r="I62" s="7" t="n"/>
      <c r="J62" s="7" t="n">
        <v>144753.17</v>
      </c>
      <c r="K62" s="7" t="n"/>
      <c r="L62" s="7" t="n">
        <v>218162.02</v>
      </c>
      <c r="M62" s="7" t="n"/>
      <c r="N62" s="7" t="n">
        <v>222464.17</v>
      </c>
      <c r="O62" s="7" t="n"/>
      <c r="P62" s="7" t="n">
        <v>225600.565</v>
      </c>
      <c r="Q62" s="7" t="n"/>
      <c r="R62" s="7" t="n">
        <v>138960.495</v>
      </c>
      <c r="S62" s="7" t="n"/>
      <c r="T62" s="7" t="n">
        <v>223873.101</v>
      </c>
      <c r="U62" s="7" t="n"/>
      <c r="V62" s="7" t="n">
        <v>400881.645</v>
      </c>
      <c r="W62" s="7" t="n"/>
      <c r="X62" s="7" t="n">
        <v>313980.417</v>
      </c>
      <c r="Y62" s="7" t="n"/>
      <c r="Z62" s="7" t="n">
        <v>142556.29</v>
      </c>
      <c r="AA62" s="7" t="n"/>
      <c r="AB62" s="7" t="n">
        <v>144828.985</v>
      </c>
      <c r="AC62" s="7" t="n"/>
      <c r="AD62" s="7" t="n">
        <v>30685.45</v>
      </c>
      <c r="AE62" s="8">
        <f>SUM(C62,E62,G62,I62,K62,M62,O62,Q62,S62,U62,W62,Y62,AA62,AC62)</f>
        <v/>
      </c>
      <c r="AF62" s="8">
        <f>SUM(D62,F62,H62,J62,L62,N62,P62,R62,T62,V62,X62,Z62,AB62,AD62)</f>
        <v/>
      </c>
      <c r="AG62" s="8">
        <f>AE62+AF62</f>
        <v/>
      </c>
    </row>
    <row r="63">
      <c r="A63" s="10" t="n">
        <v>58</v>
      </c>
      <c r="B63" s="28" t="inlineStr">
        <is>
          <t>Niğde</t>
        </is>
      </c>
      <c r="C63" s="12" t="n">
        <v>289996.07</v>
      </c>
      <c r="D63" s="12" t="n">
        <v>31541.5</v>
      </c>
      <c r="E63" s="12" t="n">
        <v>245590.65</v>
      </c>
      <c r="F63" s="12" t="n">
        <v>55279.27</v>
      </c>
      <c r="G63" s="12" t="n">
        <v>168559.525</v>
      </c>
      <c r="H63" s="12" t="n">
        <v>52788.881</v>
      </c>
      <c r="I63" s="12" t="n">
        <v>187190.72</v>
      </c>
      <c r="J63" s="12" t="n">
        <v>83922.74000000001</v>
      </c>
      <c r="K63" s="12" t="n">
        <v>239429.825</v>
      </c>
      <c r="L63" s="12" t="n">
        <v>74011.24000000001</v>
      </c>
      <c r="M63" s="12" t="n">
        <v>238165.92</v>
      </c>
      <c r="N63" s="12" t="n">
        <v>66721.83500000001</v>
      </c>
      <c r="O63" s="12" t="n">
        <v>251273.315</v>
      </c>
      <c r="P63" s="12" t="n">
        <v>80803.155</v>
      </c>
      <c r="Q63" s="12" t="n">
        <v>193647.86</v>
      </c>
      <c r="R63" s="12" t="n">
        <v>69491.84</v>
      </c>
      <c r="S63" s="12" t="n">
        <v>197981.24</v>
      </c>
      <c r="T63" s="12" t="n">
        <v>69497.412</v>
      </c>
      <c r="U63" s="12" t="n">
        <v>153027.745</v>
      </c>
      <c r="V63" s="12" t="n">
        <v>77600.86</v>
      </c>
      <c r="W63" s="12" t="n">
        <v>99781.82000000001</v>
      </c>
      <c r="X63" s="12" t="n">
        <v>43508.775</v>
      </c>
      <c r="Y63" s="12" t="n">
        <v>96636.82000000001</v>
      </c>
      <c r="Z63" s="12" t="n">
        <v>38928.735</v>
      </c>
      <c r="AA63" s="12" t="n">
        <v>73219.88</v>
      </c>
      <c r="AB63" s="12" t="n">
        <v>28860.2</v>
      </c>
      <c r="AC63" s="12" t="n">
        <v>1733.16</v>
      </c>
      <c r="AD63" s="12" t="n">
        <v>596.766</v>
      </c>
      <c r="AE63" s="13">
        <f>SUM(C63,E63,G63,I63,K63,M63,O63,Q63,S63,U63,W63,Y63,AA63,AC63)</f>
        <v/>
      </c>
      <c r="AF63" s="13">
        <f>SUM(D63,F63,H63,J63,L63,N63,P63,R63,T63,V63,X63,Z63,AB63,AD63)</f>
        <v/>
      </c>
      <c r="AG63" s="13">
        <f>AE63+AF63</f>
        <v/>
      </c>
    </row>
    <row r="64">
      <c r="A64" s="5" t="n">
        <v>59</v>
      </c>
      <c r="B64" s="27" t="inlineStr">
        <is>
          <t>Batman</t>
        </is>
      </c>
      <c r="C64" s="7" t="n">
        <v>140624.26</v>
      </c>
      <c r="D64" s="7" t="n">
        <v>354934.503</v>
      </c>
      <c r="E64" s="7" t="n">
        <v>94720.56</v>
      </c>
      <c r="F64" s="7" t="n">
        <v>242109.634</v>
      </c>
      <c r="G64" s="7" t="n">
        <v>115654.99</v>
      </c>
      <c r="H64" s="7" t="n">
        <v>218847.041</v>
      </c>
      <c r="I64" s="7" t="n">
        <v>84761.84</v>
      </c>
      <c r="J64" s="7" t="n">
        <v>219272.617</v>
      </c>
      <c r="K64" s="7" t="n">
        <v>99055.48699999999</v>
      </c>
      <c r="L64" s="7" t="n">
        <v>154908.742</v>
      </c>
      <c r="M64" s="7" t="n">
        <v>139408.035</v>
      </c>
      <c r="N64" s="7" t="n">
        <v>207196.141</v>
      </c>
      <c r="O64" s="7" t="n">
        <v>148394.375</v>
      </c>
      <c r="P64" s="7" t="n">
        <v>245082.524</v>
      </c>
      <c r="Q64" s="7" t="n">
        <v>79795.455</v>
      </c>
      <c r="R64" s="7" t="n">
        <v>173024.393</v>
      </c>
      <c r="S64" s="7" t="n">
        <v>20798.55</v>
      </c>
      <c r="T64" s="7" t="n">
        <v>62541.8</v>
      </c>
      <c r="U64" s="7" t="n">
        <v>8001.77</v>
      </c>
      <c r="V64" s="7" t="n">
        <v>54031.538</v>
      </c>
      <c r="W64" s="7" t="n">
        <v>11491</v>
      </c>
      <c r="X64" s="7" t="n">
        <v>64675.359</v>
      </c>
      <c r="Y64" s="7" t="n">
        <v>10702.625</v>
      </c>
      <c r="Z64" s="7" t="n">
        <v>72880.54300000001</v>
      </c>
      <c r="AA64" s="7" t="n">
        <v>6104.59</v>
      </c>
      <c r="AB64" s="7" t="n">
        <v>34367.9</v>
      </c>
      <c r="AC64" s="7" t="n">
        <v>2360.8</v>
      </c>
      <c r="AD64" s="7" t="n">
        <v>13927.995</v>
      </c>
      <c r="AE64" s="8">
        <f>SUM(C64,E64,G64,I64,K64,M64,O64,Q64,S64,U64,W64,Y64,AA64,AC64)</f>
        <v/>
      </c>
      <c r="AF64" s="8">
        <f>SUM(D64,F64,H64,J64,L64,N64,P64,R64,T64,V64,X64,Z64,AB64,AD64)</f>
        <v/>
      </c>
      <c r="AG64" s="8">
        <f>AE64+AF64</f>
        <v/>
      </c>
    </row>
    <row r="65">
      <c r="A65" s="10" t="n">
        <v>60</v>
      </c>
      <c r="B65" s="28" t="inlineStr">
        <is>
          <t>Diyarbakır</t>
        </is>
      </c>
      <c r="C65" s="12" t="n">
        <v>16571.011</v>
      </c>
      <c r="D65" s="12" t="n">
        <v>79479.641</v>
      </c>
      <c r="E65" s="12" t="n">
        <v>10383.985</v>
      </c>
      <c r="F65" s="12" t="n">
        <v>42192.73</v>
      </c>
      <c r="G65" s="12" t="n">
        <v>6081.57</v>
      </c>
      <c r="H65" s="12" t="n">
        <v>76386.628</v>
      </c>
      <c r="I65" s="12" t="n">
        <v>7024.477</v>
      </c>
      <c r="J65" s="12" t="n">
        <v>37603.754</v>
      </c>
      <c r="K65" s="12" t="n">
        <v>7687.675</v>
      </c>
      <c r="L65" s="12" t="n">
        <v>46038.479</v>
      </c>
      <c r="M65" s="12" t="n">
        <v>36791.784</v>
      </c>
      <c r="N65" s="12" t="n">
        <v>198707.783</v>
      </c>
      <c r="O65" s="12" t="n">
        <v>87528.85000000001</v>
      </c>
      <c r="P65" s="12" t="n">
        <v>412077.16</v>
      </c>
      <c r="Q65" s="12" t="n">
        <v>132203.462</v>
      </c>
      <c r="R65" s="12" t="n">
        <v>634450.501</v>
      </c>
      <c r="S65" s="12" t="n">
        <v>113555.311</v>
      </c>
      <c r="T65" s="12" t="n">
        <v>653105.753</v>
      </c>
      <c r="U65" s="12" t="n">
        <v>45074.46</v>
      </c>
      <c r="V65" s="12" t="n">
        <v>236935.847</v>
      </c>
      <c r="W65" s="12" t="n">
        <v>7396.65</v>
      </c>
      <c r="X65" s="12" t="n">
        <v>30005.309</v>
      </c>
      <c r="Y65" s="12" t="n">
        <v>10312.354</v>
      </c>
      <c r="Z65" s="12" t="n">
        <v>24226.606</v>
      </c>
      <c r="AA65" s="12" t="n">
        <v>16861.275</v>
      </c>
      <c r="AB65" s="12" t="n">
        <v>18060.331</v>
      </c>
      <c r="AC65" s="12" t="n">
        <v>21095.257</v>
      </c>
      <c r="AD65" s="12" t="n">
        <v>7587.014</v>
      </c>
      <c r="AE65" s="13">
        <f>SUM(C65,E65,G65,I65,K65,M65,O65,Q65,S65,U65,W65,Y65,AA65,AC65)</f>
        <v/>
      </c>
      <c r="AF65" s="13">
        <f>SUM(D65,F65,H65,J65,L65,N65,P65,R65,T65,V65,X65,Z65,AB65,AD65)</f>
        <v/>
      </c>
      <c r="AG65" s="13">
        <f>AE65+AF65</f>
        <v/>
      </c>
    </row>
    <row r="66">
      <c r="A66" s="5" t="n">
        <v>61</v>
      </c>
      <c r="B66" s="27" t="inlineStr">
        <is>
          <t>Çetinkaya</t>
        </is>
      </c>
      <c r="C66" s="7" t="n">
        <v>327182.32</v>
      </c>
      <c r="D66" s="7" t="n">
        <v>36408.855</v>
      </c>
      <c r="E66" s="7" t="n">
        <v>410934.05</v>
      </c>
      <c r="F66" s="7" t="n">
        <v>28208.6</v>
      </c>
      <c r="G66" s="7" t="n">
        <v>104891.6</v>
      </c>
      <c r="H66" s="7" t="n">
        <v>44003.1</v>
      </c>
      <c r="I66" s="7" t="n">
        <v>153483.45</v>
      </c>
      <c r="J66" s="7" t="n">
        <v>89132.86500000001</v>
      </c>
      <c r="K66" s="7" t="n">
        <v>83084.7</v>
      </c>
      <c r="L66" s="7" t="n">
        <v>43263.16</v>
      </c>
      <c r="M66" s="7" t="n">
        <v>33941.55</v>
      </c>
      <c r="N66" s="7" t="n">
        <v>6845.865</v>
      </c>
      <c r="O66" s="7" t="n">
        <v>78886.85000000001</v>
      </c>
      <c r="P66" s="7" t="n">
        <v>9317.860000000001</v>
      </c>
      <c r="Q66" s="7" t="n">
        <v>224914.473</v>
      </c>
      <c r="R66" s="7" t="n">
        <v>39708.33</v>
      </c>
      <c r="S66" s="7" t="n">
        <v>223858.63</v>
      </c>
      <c r="T66" s="7" t="n">
        <v>23947</v>
      </c>
      <c r="U66" s="7" t="n">
        <v>275732.18</v>
      </c>
      <c r="V66" s="7" t="n">
        <v>17046.8</v>
      </c>
      <c r="W66" s="7" t="n">
        <v>221132.59</v>
      </c>
      <c r="X66" s="7" t="n">
        <v>6079.6</v>
      </c>
      <c r="Y66" s="7" t="n">
        <v>169254.89</v>
      </c>
      <c r="Z66" s="7" t="n">
        <v>950.37</v>
      </c>
      <c r="AA66" s="7" t="n">
        <v>297002.892</v>
      </c>
      <c r="AB66" s="7" t="n">
        <v>10660.5</v>
      </c>
      <c r="AC66" s="7" t="n">
        <v>40320.832</v>
      </c>
      <c r="AD66" s="7" t="n">
        <v>2562.86</v>
      </c>
      <c r="AE66" s="8">
        <f>SUM(C66,E66,G66,I66,K66,M66,O66,Q66,S66,U66,W66,Y66,AA66,AC66)</f>
        <v/>
      </c>
      <c r="AF66" s="8">
        <f>SUM(D66,F66,H66,J66,L66,N66,P66,R66,T66,V66,X66,Z66,AB66,AD66)</f>
        <v/>
      </c>
      <c r="AG66" s="8">
        <f>AE66+AF66</f>
        <v/>
      </c>
    </row>
    <row r="67">
      <c r="A67" s="10" t="n">
        <v>62</v>
      </c>
      <c r="B67" s="28" t="inlineStr">
        <is>
          <t>Yapı</t>
        </is>
      </c>
      <c r="C67" s="12" t="n">
        <v>209935.432</v>
      </c>
      <c r="D67" s="12" t="n">
        <v>4544.8</v>
      </c>
      <c r="E67" s="12" t="n">
        <v>130639.1</v>
      </c>
      <c r="F67" s="12" t="n">
        <v>17336.218</v>
      </c>
      <c r="G67" s="12" t="n">
        <v>91273.12</v>
      </c>
      <c r="H67" s="12" t="n">
        <v>59333.346</v>
      </c>
      <c r="I67" s="12" t="n">
        <v>73419.10000000001</v>
      </c>
      <c r="J67" s="12" t="n">
        <v>84875.204</v>
      </c>
      <c r="K67" s="12" t="n">
        <v>296921.13</v>
      </c>
      <c r="L67" s="12" t="n">
        <v>46248.25</v>
      </c>
      <c r="M67" s="12" t="n">
        <v>360008.1</v>
      </c>
      <c r="N67" s="12" t="n">
        <v>44749.975</v>
      </c>
      <c r="O67" s="12" t="n">
        <v>47965.115</v>
      </c>
      <c r="P67" s="12" t="n">
        <v>10161.6</v>
      </c>
      <c r="Q67" s="12" t="n"/>
      <c r="R67" s="12" t="n"/>
      <c r="S67" s="12" t="n"/>
      <c r="T67" s="12" t="n"/>
      <c r="U67" s="12" t="n">
        <v>17326.715</v>
      </c>
      <c r="V67" s="12" t="n">
        <v>1970</v>
      </c>
      <c r="W67" s="12" t="n">
        <v>201331.39</v>
      </c>
      <c r="X67" s="12" t="n">
        <v>41072.65</v>
      </c>
      <c r="Y67" s="12" t="n">
        <v>341931.895</v>
      </c>
      <c r="Z67" s="12" t="n">
        <v>80583.92999999999</v>
      </c>
      <c r="AA67" s="12" t="n">
        <v>387508.785</v>
      </c>
      <c r="AB67" s="12" t="n">
        <v>149849.756</v>
      </c>
      <c r="AC67" s="12" t="n">
        <v>208191.07</v>
      </c>
      <c r="AD67" s="12" t="n">
        <v>44518.42</v>
      </c>
      <c r="AE67" s="13">
        <f>SUM(C67,E67,G67,I67,K67,M67,O67,Q67,S67,U67,W67,Y67,AA67,AC67)</f>
        <v/>
      </c>
      <c r="AF67" s="13">
        <f>SUM(D67,F67,H67,J67,L67,N67,P67,R67,T67,V67,X67,Z67,AB67,AD67)</f>
        <v/>
      </c>
      <c r="AG67" s="13">
        <f>AE67+AF67</f>
        <v/>
      </c>
    </row>
    <row r="68">
      <c r="A68" s="5" t="n">
        <v>63</v>
      </c>
      <c r="B68" s="27" t="inlineStr">
        <is>
          <t>Ömerli</t>
        </is>
      </c>
      <c r="C68" s="7" t="n"/>
      <c r="D68" s="7" t="n"/>
      <c r="E68" s="7" t="n"/>
      <c r="F68" s="7" t="n"/>
      <c r="G68" s="7" t="n"/>
      <c r="H68" s="7" t="n"/>
      <c r="I68" s="7" t="n"/>
      <c r="J68" s="7" t="n"/>
      <c r="K68" s="7" t="n">
        <v>600.6</v>
      </c>
      <c r="L68" s="7" t="n">
        <v>530</v>
      </c>
      <c r="M68" s="7" t="n"/>
      <c r="N68" s="7" t="n"/>
      <c r="O68" s="7" t="n"/>
      <c r="P68" s="7" t="n"/>
      <c r="Q68" s="7" t="n">
        <v>39717.629</v>
      </c>
      <c r="R68" s="7" t="n">
        <v>33987.031</v>
      </c>
      <c r="S68" s="7" t="n">
        <v>264859.205</v>
      </c>
      <c r="T68" s="7" t="n">
        <v>207713.245</v>
      </c>
      <c r="U68" s="7" t="n">
        <v>275517.925</v>
      </c>
      <c r="V68" s="7" t="n">
        <v>204477.97</v>
      </c>
      <c r="W68" s="7" t="n">
        <v>272889.62</v>
      </c>
      <c r="X68" s="7" t="n">
        <v>202331.31</v>
      </c>
      <c r="Y68" s="7" t="n">
        <v>306104.48</v>
      </c>
      <c r="Z68" s="7" t="n">
        <v>208233.35</v>
      </c>
      <c r="AA68" s="7" t="n">
        <v>339209.415</v>
      </c>
      <c r="AB68" s="7" t="n">
        <v>233515.47</v>
      </c>
      <c r="AC68" s="7" t="n">
        <v>158733.26</v>
      </c>
      <c r="AD68" s="7" t="n">
        <v>138111.4</v>
      </c>
      <c r="AE68" s="8">
        <f>SUM(C68,E68,G68,I68,K68,M68,O68,Q68,S68,U68,W68,Y68,AA68,AC68)</f>
        <v/>
      </c>
      <c r="AF68" s="8">
        <f>SUM(D68,F68,H68,J68,L68,N68,P68,R68,T68,V68,X68,Z68,AB68,AD68)</f>
        <v/>
      </c>
      <c r="AG68" s="8">
        <f>AE68+AF68</f>
        <v/>
      </c>
    </row>
    <row r="69">
      <c r="A69" s="10" t="n">
        <v>64</v>
      </c>
      <c r="B69" s="28" t="inlineStr">
        <is>
          <t>Elazığ</t>
        </is>
      </c>
      <c r="C69" s="12" t="n">
        <v>45403.061</v>
      </c>
      <c r="D69" s="12" t="n">
        <v>287455.722</v>
      </c>
      <c r="E69" s="12" t="n">
        <v>44421.386</v>
      </c>
      <c r="F69" s="12" t="n">
        <v>166563.262</v>
      </c>
      <c r="G69" s="12" t="n">
        <v>100539.628</v>
      </c>
      <c r="H69" s="12" t="n">
        <v>167180.069</v>
      </c>
      <c r="I69" s="12" t="n">
        <v>54397.445</v>
      </c>
      <c r="J69" s="12" t="n">
        <v>163857.203</v>
      </c>
      <c r="K69" s="12" t="n">
        <v>82723.15300000001</v>
      </c>
      <c r="L69" s="12" t="n">
        <v>179889.861</v>
      </c>
      <c r="M69" s="12" t="n">
        <v>77558.041</v>
      </c>
      <c r="N69" s="12" t="n">
        <v>185162.108</v>
      </c>
      <c r="O69" s="12" t="n">
        <v>39348.295</v>
      </c>
      <c r="P69" s="12" t="n">
        <v>117075.26</v>
      </c>
      <c r="Q69" s="12" t="n">
        <v>60012.603</v>
      </c>
      <c r="R69" s="12" t="n">
        <v>199094.46</v>
      </c>
      <c r="S69" s="12" t="n">
        <v>45960.332</v>
      </c>
      <c r="T69" s="12" t="n">
        <v>178505.775</v>
      </c>
      <c r="U69" s="12" t="n">
        <v>31715.093</v>
      </c>
      <c r="V69" s="12" t="n">
        <v>120200.483</v>
      </c>
      <c r="W69" s="12" t="n">
        <v>18222.136</v>
      </c>
      <c r="X69" s="12" t="n">
        <v>81535.859</v>
      </c>
      <c r="Y69" s="12" t="n">
        <v>18595.058</v>
      </c>
      <c r="Z69" s="12" t="n">
        <v>105043.956</v>
      </c>
      <c r="AA69" s="12" t="n">
        <v>31301.2</v>
      </c>
      <c r="AB69" s="12" t="n">
        <v>146516.183</v>
      </c>
      <c r="AC69" s="12" t="n">
        <v>22500.301</v>
      </c>
      <c r="AD69" s="12" t="n">
        <v>73533.064</v>
      </c>
      <c r="AE69" s="13">
        <f>SUM(C69,E69,G69,I69,K69,M69,O69,Q69,S69,U69,W69,Y69,AA69,AC69)</f>
        <v/>
      </c>
      <c r="AF69" s="13">
        <f>SUM(D69,F69,H69,J69,L69,N69,P69,R69,T69,V69,X69,Z69,AB69,AD69)</f>
        <v/>
      </c>
      <c r="AG69" s="13">
        <f>AE69+AF69</f>
        <v/>
      </c>
    </row>
    <row r="70">
      <c r="A70" s="5" t="n">
        <v>65</v>
      </c>
      <c r="B70" s="27" t="inlineStr">
        <is>
          <t>Emirler</t>
        </is>
      </c>
      <c r="C70" s="7" t="n">
        <v>132416.2</v>
      </c>
      <c r="D70" s="7" t="n">
        <v>63792.96</v>
      </c>
      <c r="E70" s="7" t="n">
        <v>75971.89999999999</v>
      </c>
      <c r="F70" s="7" t="n">
        <v>45409.55</v>
      </c>
      <c r="G70" s="7" t="n">
        <v>43600.8</v>
      </c>
      <c r="H70" s="7" t="n">
        <v>17822.57</v>
      </c>
      <c r="I70" s="7" t="n">
        <v>84193.3</v>
      </c>
      <c r="J70" s="7" t="n">
        <v>45174.31</v>
      </c>
      <c r="K70" s="7" t="n">
        <v>81201.10000000001</v>
      </c>
      <c r="L70" s="7" t="n">
        <v>40247.575</v>
      </c>
      <c r="M70" s="7" t="n">
        <v>106368</v>
      </c>
      <c r="N70" s="7" t="n">
        <v>53116.275</v>
      </c>
      <c r="O70" s="7" t="n">
        <v>152369.8</v>
      </c>
      <c r="P70" s="7" t="n">
        <v>86724.079</v>
      </c>
      <c r="Q70" s="7" t="n">
        <v>119719.2</v>
      </c>
      <c r="R70" s="7" t="n">
        <v>71517.105</v>
      </c>
      <c r="S70" s="7" t="n">
        <v>187724.52</v>
      </c>
      <c r="T70" s="7" t="n">
        <v>135873.005</v>
      </c>
      <c r="U70" s="7" t="n">
        <v>202414.5</v>
      </c>
      <c r="V70" s="7" t="n">
        <v>100799.505</v>
      </c>
      <c r="W70" s="7" t="n">
        <v>111570.19</v>
      </c>
      <c r="X70" s="7" t="n">
        <v>55221.625</v>
      </c>
      <c r="Y70" s="7" t="n">
        <v>125244.205</v>
      </c>
      <c r="Z70" s="7" t="n">
        <v>61153.145</v>
      </c>
      <c r="AA70" s="7" t="n">
        <v>230571.6</v>
      </c>
      <c r="AB70" s="7" t="n">
        <v>113987.99</v>
      </c>
      <c r="AC70" s="7" t="n">
        <v>187674.5</v>
      </c>
      <c r="AD70" s="7" t="n">
        <v>92133.045</v>
      </c>
      <c r="AE70" s="8">
        <f>SUM(C70,E70,G70,I70,K70,M70,O70,Q70,S70,U70,W70,Y70,AA70,AC70)</f>
        <v/>
      </c>
      <c r="AF70" s="8">
        <f>SUM(D70,F70,H70,J70,L70,N70,P70,R70,T70,V70,X70,Z70,AB70,AD70)</f>
        <v/>
      </c>
      <c r="AG70" s="8">
        <f>AE70+AF70</f>
        <v/>
      </c>
    </row>
    <row r="71">
      <c r="A71" s="10" t="n">
        <v>66</v>
      </c>
      <c r="B71" s="28" t="inlineStr">
        <is>
          <t>Mazıdağı</t>
        </is>
      </c>
      <c r="C71" s="12" t="n"/>
      <c r="D71" s="12" t="n"/>
      <c r="E71" s="12" t="n"/>
      <c r="F71" s="12" t="n"/>
      <c r="G71" s="12" t="n"/>
      <c r="H71" s="12" t="n"/>
      <c r="I71" s="12" t="n"/>
      <c r="J71" s="12" t="n"/>
      <c r="K71" s="12" t="n"/>
      <c r="L71" s="12" t="n"/>
      <c r="M71" s="12" t="n"/>
      <c r="N71" s="12" t="n"/>
      <c r="O71" s="12" t="n"/>
      <c r="P71" s="12" t="n"/>
      <c r="Q71" s="12" t="n"/>
      <c r="R71" s="12" t="n"/>
      <c r="S71" s="12" t="n"/>
      <c r="T71" s="12" t="n"/>
      <c r="U71" s="12" t="n">
        <v>55180</v>
      </c>
      <c r="V71" s="12" t="n">
        <v>205814</v>
      </c>
      <c r="W71" s="12" t="n">
        <v>73020</v>
      </c>
      <c r="X71" s="12" t="n">
        <v>414250.5</v>
      </c>
      <c r="Y71" s="12" t="n">
        <v>186961.272</v>
      </c>
      <c r="Z71" s="12" t="n">
        <v>624262.53</v>
      </c>
      <c r="AA71" s="12" t="n">
        <v>221708.65</v>
      </c>
      <c r="AB71" s="12" t="n">
        <v>551117.625</v>
      </c>
      <c r="AC71" s="12" t="n">
        <v>79519.28</v>
      </c>
      <c r="AD71" s="12" t="n">
        <v>397378.37</v>
      </c>
      <c r="AE71" s="13">
        <f>SUM(C71,E71,G71,I71,K71,M71,O71,Q71,S71,U71,W71,Y71,AA71,AC71)</f>
        <v/>
      </c>
      <c r="AF71" s="13">
        <f>SUM(D71,F71,H71,J71,L71,N71,P71,R71,T71,V71,X71,Z71,AB71,AD71)</f>
        <v/>
      </c>
      <c r="AG71" s="13">
        <f>AE71+AF71</f>
        <v/>
      </c>
    </row>
    <row r="72">
      <c r="A72" s="5" t="n">
        <v>67</v>
      </c>
      <c r="B72" s="27" t="inlineStr">
        <is>
          <t>Turgutlu</t>
        </is>
      </c>
      <c r="C72" s="7" t="n">
        <v>8382.683000000001</v>
      </c>
      <c r="D72" s="7" t="n">
        <v>17710.7</v>
      </c>
      <c r="E72" s="7" t="n">
        <v>11609.17</v>
      </c>
      <c r="F72" s="7" t="n">
        <v>8042.71</v>
      </c>
      <c r="G72" s="7" t="n">
        <v>8125.25</v>
      </c>
      <c r="H72" s="7" t="n">
        <v>17096.21</v>
      </c>
      <c r="I72" s="7" t="n">
        <v>1892.775</v>
      </c>
      <c r="J72" s="7" t="n">
        <v>227</v>
      </c>
      <c r="K72" s="7" t="n">
        <v>184</v>
      </c>
      <c r="L72" s="7" t="n"/>
      <c r="M72" s="7" t="n">
        <v>975.415</v>
      </c>
      <c r="N72" s="7" t="n">
        <v>8052.71</v>
      </c>
      <c r="O72" s="7" t="n">
        <v>15.5</v>
      </c>
      <c r="P72" s="7" t="n">
        <v>984.1</v>
      </c>
      <c r="Q72" s="7" t="n">
        <v>638.4</v>
      </c>
      <c r="R72" s="7" t="n">
        <v>189.8</v>
      </c>
      <c r="S72" s="7" t="n">
        <v>53052.9</v>
      </c>
      <c r="T72" s="7" t="n">
        <v>303198.293</v>
      </c>
      <c r="U72" s="7" t="n">
        <v>60894.87</v>
      </c>
      <c r="V72" s="7" t="n">
        <v>353476.94</v>
      </c>
      <c r="W72" s="7" t="n">
        <v>77837.5</v>
      </c>
      <c r="X72" s="7" t="n">
        <v>451102.993</v>
      </c>
      <c r="Y72" s="7" t="n">
        <v>90552.5</v>
      </c>
      <c r="Z72" s="7" t="n">
        <v>521175.2</v>
      </c>
      <c r="AA72" s="7" t="n">
        <v>75920</v>
      </c>
      <c r="AB72" s="7" t="n">
        <v>436235.26</v>
      </c>
      <c r="AC72" s="7" t="n">
        <v>38690</v>
      </c>
      <c r="AD72" s="7" t="n">
        <v>224497.602</v>
      </c>
      <c r="AE72" s="8">
        <f>SUM(C72,E72,G72,I72,K72,M72,O72,Q72,S72,U72,W72,Y72,AA72,AC72)</f>
        <v/>
      </c>
      <c r="AF72" s="8">
        <f>SUM(D72,F72,H72,J72,L72,N72,P72,R72,T72,V72,X72,Z72,AB72,AD72)</f>
        <v/>
      </c>
      <c r="AG72" s="8">
        <f>AE72+AF72</f>
        <v/>
      </c>
    </row>
    <row r="73">
      <c r="A73" s="10" t="n">
        <v>68</v>
      </c>
      <c r="B73" s="28" t="inlineStr">
        <is>
          <t>Çorlu</t>
        </is>
      </c>
      <c r="C73" s="12" t="n">
        <v>81478.306</v>
      </c>
      <c r="D73" s="12" t="n">
        <v>140333.439</v>
      </c>
      <c r="E73" s="12" t="n">
        <v>81440.323</v>
      </c>
      <c r="F73" s="12" t="n">
        <v>143856.995</v>
      </c>
      <c r="G73" s="12" t="n">
        <v>164238.402</v>
      </c>
      <c r="H73" s="12" t="n">
        <v>147478.61</v>
      </c>
      <c r="I73" s="12" t="n">
        <v>107888.746</v>
      </c>
      <c r="J73" s="12" t="n">
        <v>131378.067</v>
      </c>
      <c r="K73" s="12" t="n">
        <v>53054.938</v>
      </c>
      <c r="L73" s="12" t="n">
        <v>124059.92</v>
      </c>
      <c r="M73" s="12" t="n">
        <v>63666.304</v>
      </c>
      <c r="N73" s="12" t="n">
        <v>116713.079</v>
      </c>
      <c r="O73" s="12" t="n">
        <v>70132.999</v>
      </c>
      <c r="P73" s="12" t="n">
        <v>95132.145</v>
      </c>
      <c r="Q73" s="12" t="n">
        <v>70464.776</v>
      </c>
      <c r="R73" s="12" t="n">
        <v>93711.36900000001</v>
      </c>
      <c r="S73" s="12" t="n">
        <v>99780.287</v>
      </c>
      <c r="T73" s="12" t="n">
        <v>150147.872</v>
      </c>
      <c r="U73" s="12" t="n">
        <v>123497.504</v>
      </c>
      <c r="V73" s="12" t="n">
        <v>99068.049</v>
      </c>
      <c r="W73" s="12" t="n">
        <v>67157.17</v>
      </c>
      <c r="X73" s="12" t="n">
        <v>63435.056</v>
      </c>
      <c r="Y73" s="12" t="n">
        <v>159966.471</v>
      </c>
      <c r="Z73" s="12" t="n">
        <v>83408.978</v>
      </c>
      <c r="AA73" s="12" t="n">
        <v>69742.459</v>
      </c>
      <c r="AB73" s="12" t="n">
        <v>78863.857</v>
      </c>
      <c r="AC73" s="12" t="n">
        <v>39970.759</v>
      </c>
      <c r="AD73" s="12" t="n">
        <v>41867.875</v>
      </c>
      <c r="AE73" s="13">
        <f>SUM(C73,E73,G73,I73,K73,M73,O73,Q73,S73,U73,W73,Y73,AA73,AC73)</f>
        <v/>
      </c>
      <c r="AF73" s="13">
        <f>SUM(D73,F73,H73,J73,L73,N73,P73,R73,T73,V73,X73,Z73,AB73,AD73)</f>
        <v/>
      </c>
      <c r="AG73" s="13">
        <f>AE73+AF73</f>
        <v/>
      </c>
    </row>
    <row r="74">
      <c r="A74" s="5" t="n">
        <v>69</v>
      </c>
      <c r="B74" s="27" t="inlineStr">
        <is>
          <t>Çumra</t>
        </is>
      </c>
      <c r="C74" s="7" t="n">
        <v>4711.7</v>
      </c>
      <c r="D74" s="7" t="n">
        <v>484898.47</v>
      </c>
      <c r="E74" s="7" t="n">
        <v>5764.7</v>
      </c>
      <c r="F74" s="7" t="n">
        <v>380824.76</v>
      </c>
      <c r="G74" s="7" t="n">
        <v>12209.05</v>
      </c>
      <c r="H74" s="7" t="n">
        <v>413568.39</v>
      </c>
      <c r="I74" s="7" t="n">
        <v>3138.31</v>
      </c>
      <c r="J74" s="7" t="n">
        <v>358361.457</v>
      </c>
      <c r="K74" s="7" t="n">
        <v>4721.565</v>
      </c>
      <c r="L74" s="7" t="n">
        <v>286636.78</v>
      </c>
      <c r="M74" s="7" t="n">
        <v>4525.8</v>
      </c>
      <c r="N74" s="7" t="n">
        <v>269161.67</v>
      </c>
      <c r="O74" s="7" t="n">
        <v>1276.854</v>
      </c>
      <c r="P74" s="7" t="n">
        <v>227360.63</v>
      </c>
      <c r="Q74" s="7" t="n">
        <v>683.13</v>
      </c>
      <c r="R74" s="7" t="n">
        <v>24227.92</v>
      </c>
      <c r="S74" s="7" t="n">
        <v>4241.89</v>
      </c>
      <c r="T74" s="7" t="n">
        <v>135202.82</v>
      </c>
      <c r="U74" s="7" t="n">
        <v>969.41</v>
      </c>
      <c r="V74" s="7" t="n">
        <v>124040.7</v>
      </c>
      <c r="W74" s="7" t="n">
        <v>3028.24</v>
      </c>
      <c r="X74" s="7" t="n">
        <v>6406.71</v>
      </c>
      <c r="Y74" s="7" t="n">
        <v>182.31</v>
      </c>
      <c r="Z74" s="7" t="n"/>
      <c r="AA74" s="7" t="n">
        <v>0</v>
      </c>
      <c r="AB74" s="7" t="n">
        <v>0</v>
      </c>
      <c r="AC74" s="7" t="n">
        <v>220.02</v>
      </c>
      <c r="AD74" s="7" t="n"/>
      <c r="AE74" s="8">
        <f>SUM(C74,E74,G74,I74,K74,M74,O74,Q74,S74,U74,W74,Y74,AA74,AC74)</f>
        <v/>
      </c>
      <c r="AF74" s="8">
        <f>SUM(D74,F74,H74,J74,L74,N74,P74,R74,T74,V74,X74,Z74,AB74,AD74)</f>
        <v/>
      </c>
      <c r="AG74" s="8">
        <f>AE74+AF74</f>
        <v/>
      </c>
    </row>
    <row r="75">
      <c r="A75" s="10" t="n">
        <v>70</v>
      </c>
      <c r="B75" s="28" t="inlineStr">
        <is>
          <t>Erzin</t>
        </is>
      </c>
      <c r="C75" s="12" t="n">
        <v>330862.4</v>
      </c>
      <c r="D75" s="12" t="n">
        <v>72647.14</v>
      </c>
      <c r="E75" s="12" t="n">
        <v>380639</v>
      </c>
      <c r="F75" s="12" t="n">
        <v>64076.135</v>
      </c>
      <c r="G75" s="12" t="n">
        <v>268820.64</v>
      </c>
      <c r="H75" s="12" t="n">
        <v>50240.5</v>
      </c>
      <c r="I75" s="12" t="n">
        <v>83597.185</v>
      </c>
      <c r="J75" s="12" t="n">
        <v>17659.3</v>
      </c>
      <c r="K75" s="12" t="n">
        <v>128895.24</v>
      </c>
      <c r="L75" s="12" t="n">
        <v>23493.54</v>
      </c>
      <c r="M75" s="12" t="n">
        <v>130628.53</v>
      </c>
      <c r="N75" s="12" t="n">
        <v>29206.67</v>
      </c>
      <c r="O75" s="12" t="n">
        <v>219521.4</v>
      </c>
      <c r="P75" s="12" t="n">
        <v>41309.58</v>
      </c>
      <c r="Q75" s="12" t="n">
        <v>166011</v>
      </c>
      <c r="R75" s="12" t="n">
        <v>31046.89</v>
      </c>
      <c r="S75" s="12" t="n">
        <v>105341.85</v>
      </c>
      <c r="T75" s="12" t="n">
        <v>17790</v>
      </c>
      <c r="U75" s="12" t="n">
        <v>147638.093</v>
      </c>
      <c r="V75" s="12" t="n">
        <v>24290</v>
      </c>
      <c r="W75" s="12" t="n">
        <v>103722.875</v>
      </c>
      <c r="X75" s="12" t="n">
        <v>15660</v>
      </c>
      <c r="Y75" s="12" t="n">
        <v>49978.11</v>
      </c>
      <c r="Z75" s="12" t="n">
        <v>6490</v>
      </c>
      <c r="AA75" s="12" t="n">
        <v>35612.508</v>
      </c>
      <c r="AB75" s="12" t="n">
        <v>7107.96</v>
      </c>
      <c r="AC75" s="12" t="n">
        <v>22681.474</v>
      </c>
      <c r="AD75" s="12" t="n">
        <v>3530.87</v>
      </c>
      <c r="AE75" s="13">
        <f>SUM(C75,E75,G75,I75,K75,M75,O75,Q75,S75,U75,W75,Y75,AA75,AC75)</f>
        <v/>
      </c>
      <c r="AF75" s="13">
        <f>SUM(D75,F75,H75,J75,L75,N75,P75,R75,T75,V75,X75,Z75,AB75,AD75)</f>
        <v/>
      </c>
      <c r="AG75" s="13">
        <f>AE75+AF75</f>
        <v/>
      </c>
    </row>
    <row r="76">
      <c r="A76" s="5" t="n">
        <v>71</v>
      </c>
      <c r="B76" s="27" t="inlineStr">
        <is>
          <t>Erzincan</t>
        </is>
      </c>
      <c r="C76" s="7" t="n">
        <v>39796.235</v>
      </c>
      <c r="D76" s="7" t="n">
        <v>111161.689</v>
      </c>
      <c r="E76" s="7" t="n">
        <v>13056.155</v>
      </c>
      <c r="F76" s="7" t="n">
        <v>291449.559</v>
      </c>
      <c r="G76" s="7" t="n">
        <v>20677.724</v>
      </c>
      <c r="H76" s="7" t="n">
        <v>187629.401</v>
      </c>
      <c r="I76" s="7" t="n">
        <v>28063.57</v>
      </c>
      <c r="J76" s="7" t="n">
        <v>410005.376</v>
      </c>
      <c r="K76" s="7" t="n">
        <v>22702.45</v>
      </c>
      <c r="L76" s="7" t="n">
        <v>307873.074</v>
      </c>
      <c r="M76" s="7" t="n">
        <v>36254.225</v>
      </c>
      <c r="N76" s="7" t="n">
        <v>349840.854</v>
      </c>
      <c r="O76" s="7" t="n">
        <v>6292.614</v>
      </c>
      <c r="P76" s="7" t="n">
        <v>142769.792</v>
      </c>
      <c r="Q76" s="7" t="n">
        <v>12718.16</v>
      </c>
      <c r="R76" s="7" t="n">
        <v>231688.847</v>
      </c>
      <c r="S76" s="7" t="n">
        <v>16027.703</v>
      </c>
      <c r="T76" s="7" t="n">
        <v>57622.297</v>
      </c>
      <c r="U76" s="7" t="n">
        <v>19392.269</v>
      </c>
      <c r="V76" s="7" t="n">
        <v>28008.268</v>
      </c>
      <c r="W76" s="7" t="n">
        <v>13106.046</v>
      </c>
      <c r="X76" s="7" t="n">
        <v>17975.182</v>
      </c>
      <c r="Y76" s="7" t="n">
        <v>8068.456</v>
      </c>
      <c r="Z76" s="7" t="n">
        <v>10810.837</v>
      </c>
      <c r="AA76" s="7" t="n">
        <v>13140.718</v>
      </c>
      <c r="AB76" s="7" t="n">
        <v>8901.349</v>
      </c>
      <c r="AC76" s="7" t="n">
        <v>2652.069</v>
      </c>
      <c r="AD76" s="7" t="n">
        <v>152847.322</v>
      </c>
      <c r="AE76" s="8">
        <f>SUM(C76,E76,G76,I76,K76,M76,O76,Q76,S76,U76,W76,Y76,AA76,AC76)</f>
        <v/>
      </c>
      <c r="AF76" s="8">
        <f>SUM(D76,F76,H76,J76,L76,N76,P76,R76,T76,V76,X76,Z76,AB76,AD76)</f>
        <v/>
      </c>
      <c r="AG76" s="8">
        <f>AE76+AF76</f>
        <v/>
      </c>
    </row>
    <row r="77">
      <c r="A77" s="10" t="n">
        <v>72</v>
      </c>
      <c r="B77" s="28" t="inlineStr">
        <is>
          <t>Göltaş</t>
        </is>
      </c>
      <c r="C77" s="12" t="n">
        <v>79355.66</v>
      </c>
      <c r="D77" s="12" t="n">
        <v>236538.176</v>
      </c>
      <c r="E77" s="12" t="n">
        <v>90817.8</v>
      </c>
      <c r="F77" s="12" t="n">
        <v>238700.231</v>
      </c>
      <c r="G77" s="12" t="n">
        <v>28000</v>
      </c>
      <c r="H77" s="12" t="n">
        <v>150680.59</v>
      </c>
      <c r="I77" s="12" t="n">
        <v>26590</v>
      </c>
      <c r="J77" s="12" t="n">
        <v>143638.74</v>
      </c>
      <c r="K77" s="12" t="n">
        <v>23888.95</v>
      </c>
      <c r="L77" s="12" t="n">
        <v>129745.79</v>
      </c>
      <c r="M77" s="12" t="n">
        <v>35052</v>
      </c>
      <c r="N77" s="12" t="n">
        <v>192258.23</v>
      </c>
      <c r="O77" s="12" t="n">
        <v>22825.375</v>
      </c>
      <c r="P77" s="12" t="n">
        <v>122013.157</v>
      </c>
      <c r="Q77" s="12" t="n">
        <v>29843.5</v>
      </c>
      <c r="R77" s="12" t="n">
        <v>163839.45</v>
      </c>
      <c r="S77" s="12" t="n">
        <v>27150.41</v>
      </c>
      <c r="T77" s="12" t="n">
        <v>157316.05</v>
      </c>
      <c r="U77" s="12" t="n">
        <v>30842.74</v>
      </c>
      <c r="V77" s="12" t="n">
        <v>156800.289</v>
      </c>
      <c r="W77" s="12" t="n">
        <v>30960</v>
      </c>
      <c r="X77" s="12" t="n">
        <v>168452.061</v>
      </c>
      <c r="Y77" s="12" t="n">
        <v>12681.34</v>
      </c>
      <c r="Z77" s="12" t="n">
        <v>68321.856</v>
      </c>
      <c r="AA77" s="12" t="n">
        <v>13207.71</v>
      </c>
      <c r="AB77" s="12" t="n">
        <v>82277.75999999999</v>
      </c>
      <c r="AC77" s="12" t="n">
        <v>7351.77</v>
      </c>
      <c r="AD77" s="12" t="n">
        <v>39450.23</v>
      </c>
      <c r="AE77" s="13">
        <f>SUM(C77,E77,G77,I77,K77,M77,O77,Q77,S77,U77,W77,Y77,AA77,AC77)</f>
        <v/>
      </c>
      <c r="AF77" s="13">
        <f>SUM(D77,F77,H77,J77,L77,N77,P77,R77,T77,V77,X77,Z77,AB77,AD77)</f>
        <v/>
      </c>
      <c r="AG77" s="13">
        <f>AE77+AF77</f>
        <v/>
      </c>
    </row>
    <row r="78">
      <c r="A78" s="5" t="n">
        <v>73</v>
      </c>
      <c r="B78" s="27" t="inlineStr">
        <is>
          <t>Çavuşcugöl</t>
        </is>
      </c>
      <c r="C78" s="7" t="n">
        <v>389135.55</v>
      </c>
      <c r="D78" s="7" t="n">
        <v>270.2</v>
      </c>
      <c r="E78" s="7" t="n">
        <v>305394.08</v>
      </c>
      <c r="F78" s="7" t="n">
        <v>21</v>
      </c>
      <c r="G78" s="7" t="n">
        <v>326989.4</v>
      </c>
      <c r="H78" s="7" t="n">
        <v>3216</v>
      </c>
      <c r="I78" s="7" t="n">
        <v>344497.947</v>
      </c>
      <c r="J78" s="7" t="n">
        <v>5</v>
      </c>
      <c r="K78" s="7" t="n">
        <v>273414.34</v>
      </c>
      <c r="L78" s="7" t="n">
        <v>15409</v>
      </c>
      <c r="M78" s="7" t="n">
        <v>241118.65</v>
      </c>
      <c r="N78" s="7" t="n">
        <v>449.5</v>
      </c>
      <c r="O78" s="7" t="n">
        <v>218959</v>
      </c>
      <c r="P78" s="7" t="n">
        <v>6620</v>
      </c>
      <c r="Q78" s="7" t="n">
        <v>20231.2</v>
      </c>
      <c r="R78" s="7" t="n"/>
      <c r="S78" s="7" t="n">
        <v>135634.11</v>
      </c>
      <c r="T78" s="7" t="n">
        <v>470</v>
      </c>
      <c r="U78" s="7" t="n">
        <v>103763.845</v>
      </c>
      <c r="V78" s="7" t="n">
        <v>8042.5</v>
      </c>
      <c r="W78" s="7" t="n">
        <v>7508.4</v>
      </c>
      <c r="X78" s="7" t="n">
        <v>1400</v>
      </c>
      <c r="Y78" s="7" t="n"/>
      <c r="Z78" s="7" t="n">
        <v>20</v>
      </c>
      <c r="AA78" s="7" t="n">
        <v>28063.25</v>
      </c>
      <c r="AB78" s="7" t="n">
        <v>5130</v>
      </c>
      <c r="AC78" s="7" t="n">
        <v>5791.57</v>
      </c>
      <c r="AD78" s="7" t="n">
        <v>1120</v>
      </c>
      <c r="AE78" s="8">
        <f>SUM(C78,E78,G78,I78,K78,M78,O78,Q78,S78,U78,W78,Y78,AA78,AC78)</f>
        <v/>
      </c>
      <c r="AF78" s="8">
        <f>SUM(D78,F78,H78,J78,L78,N78,P78,R78,T78,V78,X78,Z78,AB78,AD78)</f>
        <v/>
      </c>
      <c r="AG78" s="8">
        <f>AE78+AF78</f>
        <v/>
      </c>
    </row>
    <row r="79">
      <c r="A79" s="10" t="n">
        <v>74</v>
      </c>
      <c r="B79" s="28" t="inlineStr">
        <is>
          <t>Narlı</t>
        </is>
      </c>
      <c r="C79" s="12" t="n">
        <v>15369.9</v>
      </c>
      <c r="D79" s="12" t="n">
        <v>13058.898</v>
      </c>
      <c r="E79" s="12" t="n">
        <v>2789.814</v>
      </c>
      <c r="F79" s="12" t="n">
        <v>33446.84</v>
      </c>
      <c r="G79" s="12" t="n">
        <v>12369.246</v>
      </c>
      <c r="H79" s="12" t="n">
        <v>9533.4</v>
      </c>
      <c r="I79" s="12" t="n">
        <v>138072.48</v>
      </c>
      <c r="J79" s="12" t="n">
        <v>137562.35</v>
      </c>
      <c r="K79" s="12" t="n">
        <v>153218.565</v>
      </c>
      <c r="L79" s="12" t="n">
        <v>97340.22500000001</v>
      </c>
      <c r="M79" s="12" t="n">
        <v>291204.152</v>
      </c>
      <c r="N79" s="12" t="n">
        <v>169403.813</v>
      </c>
      <c r="O79" s="12" t="n">
        <v>432517.995</v>
      </c>
      <c r="P79" s="12" t="n">
        <v>196476.991</v>
      </c>
      <c r="Q79" s="12" t="n">
        <v>115749.275</v>
      </c>
      <c r="R79" s="12" t="n">
        <v>169681.935</v>
      </c>
      <c r="S79" s="12" t="n">
        <v>8628.145</v>
      </c>
      <c r="T79" s="12" t="n">
        <v>13544.265</v>
      </c>
      <c r="U79" s="12" t="n">
        <v>104103.115</v>
      </c>
      <c r="V79" s="12" t="n">
        <v>28676.73</v>
      </c>
      <c r="W79" s="12" t="n">
        <v>36568.625</v>
      </c>
      <c r="X79" s="12" t="n">
        <v>18716.91</v>
      </c>
      <c r="Y79" s="12" t="n"/>
      <c r="Z79" s="12" t="n"/>
      <c r="AA79" s="12" t="n">
        <v>508.34</v>
      </c>
      <c r="AB79" s="12" t="n">
        <v>128.84</v>
      </c>
      <c r="AC79" s="12" t="n">
        <v>8326.655000000001</v>
      </c>
      <c r="AD79" s="12" t="n">
        <v>7692.455</v>
      </c>
      <c r="AE79" s="13">
        <f>SUM(C79,E79,G79,I79,K79,M79,O79,Q79,S79,U79,W79,Y79,AA79,AC79)</f>
        <v/>
      </c>
      <c r="AF79" s="13">
        <f>SUM(D79,F79,H79,J79,L79,N79,P79,R79,T79,V79,X79,Z79,AB79,AD79)</f>
        <v/>
      </c>
      <c r="AG79" s="13">
        <f>AE79+AF79</f>
        <v/>
      </c>
    </row>
    <row r="80">
      <c r="A80" s="5" t="n">
        <v>75</v>
      </c>
      <c r="B80" s="27" t="inlineStr">
        <is>
          <t>Yunusemre</t>
        </is>
      </c>
      <c r="C80" s="7" t="n">
        <v>1030</v>
      </c>
      <c r="D80" s="7" t="n"/>
      <c r="E80" s="7" t="n">
        <v>30398.126</v>
      </c>
      <c r="F80" s="7" t="n">
        <v>21556.38</v>
      </c>
      <c r="G80" s="7" t="n">
        <v>4799.763</v>
      </c>
      <c r="H80" s="7" t="n">
        <v>342.001</v>
      </c>
      <c r="I80" s="7" t="n">
        <v>7154.9</v>
      </c>
      <c r="J80" s="7" t="n">
        <v>213</v>
      </c>
      <c r="K80" s="7" t="n">
        <v>7829.365</v>
      </c>
      <c r="L80" s="7" t="n">
        <v>289.27</v>
      </c>
      <c r="M80" s="7" t="n">
        <v>128210.795</v>
      </c>
      <c r="N80" s="7" t="n">
        <v>33160.35</v>
      </c>
      <c r="O80" s="7" t="n"/>
      <c r="P80" s="7" t="n"/>
      <c r="Q80" s="7" t="n">
        <v>240864.59</v>
      </c>
      <c r="R80" s="7" t="n">
        <v>40777.5</v>
      </c>
      <c r="S80" s="7" t="n">
        <v>276632.002</v>
      </c>
      <c r="T80" s="7" t="n">
        <v>47206.6</v>
      </c>
      <c r="U80" s="7" t="n">
        <v>529206.325</v>
      </c>
      <c r="V80" s="7" t="n">
        <v>88170</v>
      </c>
      <c r="W80" s="7" t="n">
        <v>500417.48</v>
      </c>
      <c r="X80" s="7" t="n">
        <v>91008.64999999999</v>
      </c>
      <c r="Y80" s="7" t="n">
        <v>11297.56</v>
      </c>
      <c r="Z80" s="7" t="n">
        <v>2060</v>
      </c>
      <c r="AA80" s="7" t="n">
        <v>371</v>
      </c>
      <c r="AB80" s="7" t="n">
        <v>343</v>
      </c>
      <c r="AC80" s="7" t="n">
        <v>88200.39</v>
      </c>
      <c r="AD80" s="7" t="n">
        <v>29535</v>
      </c>
      <c r="AE80" s="8">
        <f>SUM(C80,E80,G80,I80,K80,M80,O80,Q80,S80,U80,W80,Y80,AA80,AC80)</f>
        <v/>
      </c>
      <c r="AF80" s="8">
        <f>SUM(D80,F80,H80,J80,L80,N80,P80,R80,T80,V80,X80,Z80,AB80,AD80)</f>
        <v/>
      </c>
      <c r="AG80" s="8">
        <f>AE80+AF80</f>
        <v/>
      </c>
    </row>
    <row r="81">
      <c r="A81" s="10" t="n">
        <v>76</v>
      </c>
      <c r="B81" s="28" t="inlineStr">
        <is>
          <t>Süleymanlı</t>
        </is>
      </c>
      <c r="C81" s="12" t="n"/>
      <c r="D81" s="12" t="n"/>
      <c r="E81" s="12" t="n"/>
      <c r="F81" s="12" t="n"/>
      <c r="G81" s="12" t="n"/>
      <c r="H81" s="12" t="n"/>
      <c r="I81" s="12" t="n"/>
      <c r="J81" s="12" t="n"/>
      <c r="K81" s="12" t="n"/>
      <c r="L81" s="12" t="n"/>
      <c r="M81" s="12" t="n">
        <v>22860</v>
      </c>
      <c r="N81" s="12" t="n">
        <v>123036.845</v>
      </c>
      <c r="O81" s="12" t="n">
        <v>321.25</v>
      </c>
      <c r="P81" s="12" t="n"/>
      <c r="Q81" s="12" t="n">
        <v>15647</v>
      </c>
      <c r="R81" s="12" t="n">
        <v>91943.10000000001</v>
      </c>
      <c r="S81" s="12" t="n"/>
      <c r="T81" s="12" t="n"/>
      <c r="U81" s="12" t="n">
        <v>44580</v>
      </c>
      <c r="V81" s="12" t="n">
        <v>269081.225</v>
      </c>
      <c r="W81" s="12" t="n">
        <v>217721.5</v>
      </c>
      <c r="X81" s="12" t="n">
        <v>488953.98</v>
      </c>
      <c r="Y81" s="12" t="n">
        <v>233699.95</v>
      </c>
      <c r="Z81" s="12" t="n">
        <v>96982.88</v>
      </c>
      <c r="AA81" s="12" t="n">
        <v>256656.51</v>
      </c>
      <c r="AB81" s="12" t="n">
        <v>91666.02499999999</v>
      </c>
      <c r="AC81" s="12" t="n">
        <v>153136.77</v>
      </c>
      <c r="AD81" s="12" t="n">
        <v>39203.635</v>
      </c>
      <c r="AE81" s="13">
        <f>SUM(C81,E81,G81,I81,K81,M81,O81,Q81,S81,U81,W81,Y81,AA81,AC81)</f>
        <v/>
      </c>
      <c r="AF81" s="13">
        <f>SUM(D81,F81,H81,J81,L81,N81,P81,R81,T81,V81,X81,Z81,AB81,AD81)</f>
        <v/>
      </c>
      <c r="AG81" s="13">
        <f>AE81+AF81</f>
        <v/>
      </c>
    </row>
    <row r="82">
      <c r="A82" s="5" t="n">
        <v>77</v>
      </c>
      <c r="B82" s="27" t="inlineStr">
        <is>
          <t>Ispartakule</t>
        </is>
      </c>
      <c r="C82" s="7" t="n"/>
      <c r="D82" s="7" t="n"/>
      <c r="E82" s="7" t="n"/>
      <c r="F82" s="7" t="n"/>
      <c r="G82" s="7" t="n"/>
      <c r="H82" s="7" t="n"/>
      <c r="I82" s="7" t="n">
        <v>22050</v>
      </c>
      <c r="J82" s="7" t="n">
        <v>120351.58</v>
      </c>
      <c r="K82" s="7" t="n">
        <v>49908.129</v>
      </c>
      <c r="L82" s="7" t="n">
        <v>172190.633</v>
      </c>
      <c r="M82" s="7" t="n">
        <v>75999.215</v>
      </c>
      <c r="N82" s="7" t="n">
        <v>414022.55</v>
      </c>
      <c r="O82" s="7" t="n">
        <v>74887.5</v>
      </c>
      <c r="P82" s="7" t="n">
        <v>422836.159</v>
      </c>
      <c r="Q82" s="7" t="n">
        <v>59601.15</v>
      </c>
      <c r="R82" s="7" t="n">
        <v>327149.265</v>
      </c>
      <c r="S82" s="7" t="n">
        <v>45481.25</v>
      </c>
      <c r="T82" s="7" t="n">
        <v>257232.735</v>
      </c>
      <c r="U82" s="7" t="n">
        <v>5505</v>
      </c>
      <c r="V82" s="7" t="n">
        <v>29912.945</v>
      </c>
      <c r="W82" s="7" t="n"/>
      <c r="X82" s="7" t="n">
        <v>55</v>
      </c>
      <c r="Y82" s="7" t="n"/>
      <c r="Z82" s="7" t="n"/>
      <c r="AA82" s="7" t="n"/>
      <c r="AB82" s="7" t="n"/>
      <c r="AC82" s="7" t="n"/>
      <c r="AD82" s="7" t="n">
        <v>14683.27</v>
      </c>
      <c r="AE82" s="8">
        <f>SUM(C82,E82,G82,I82,K82,M82,O82,Q82,S82,U82,W82,Y82,AA82,AC82)</f>
        <v/>
      </c>
      <c r="AF82" s="8">
        <f>SUM(D82,F82,H82,J82,L82,N82,P82,R82,T82,V82,X82,Z82,AB82,AD82)</f>
        <v/>
      </c>
      <c r="AG82" s="8">
        <f>AE82+AF82</f>
        <v/>
      </c>
    </row>
    <row r="83">
      <c r="A83" s="10" t="n">
        <v>78</v>
      </c>
      <c r="B83" s="28" t="inlineStr">
        <is>
          <t>Himmetdede</t>
        </is>
      </c>
      <c r="C83" s="12" t="n">
        <v>48637.19</v>
      </c>
      <c r="D83" s="12" t="n">
        <v>217909.7</v>
      </c>
      <c r="E83" s="12" t="n">
        <v>52696.55</v>
      </c>
      <c r="F83" s="12" t="n">
        <v>225416.51</v>
      </c>
      <c r="G83" s="12" t="n">
        <v>37122.4</v>
      </c>
      <c r="H83" s="12" t="n">
        <v>213440.17</v>
      </c>
      <c r="I83" s="12" t="n">
        <v>84028.10000000001</v>
      </c>
      <c r="J83" s="12" t="n">
        <v>196896.06</v>
      </c>
      <c r="K83" s="12" t="n">
        <v>78467.5</v>
      </c>
      <c r="L83" s="12" t="n">
        <v>284155.26</v>
      </c>
      <c r="M83" s="12" t="n">
        <v>39074</v>
      </c>
      <c r="N83" s="12" t="n">
        <v>215047.3</v>
      </c>
      <c r="O83" s="12" t="n">
        <v>12402.5</v>
      </c>
      <c r="P83" s="12" t="n">
        <v>67763.16</v>
      </c>
      <c r="Q83" s="12" t="n"/>
      <c r="R83" s="12" t="n"/>
      <c r="S83" s="12" t="n"/>
      <c r="T83" s="12" t="n"/>
      <c r="U83" s="12" t="n"/>
      <c r="V83" s="12" t="n"/>
      <c r="W83" s="12" t="n"/>
      <c r="X83" s="12" t="n"/>
      <c r="Y83" s="12" t="n">
        <v>27492.28</v>
      </c>
      <c r="Z83" s="12" t="n"/>
      <c r="AA83" s="12" t="n">
        <v>63800.9</v>
      </c>
      <c r="AB83" s="12" t="n">
        <v>13615.9</v>
      </c>
      <c r="AC83" s="12" t="n">
        <v>15188.62</v>
      </c>
      <c r="AD83" s="12" t="n">
        <v>77063.7</v>
      </c>
      <c r="AE83" s="13">
        <f>SUM(C83,E83,G83,I83,K83,M83,O83,Q83,S83,U83,W83,Y83,AA83,AC83)</f>
        <v/>
      </c>
      <c r="AF83" s="13">
        <f>SUM(D83,F83,H83,J83,L83,N83,P83,R83,T83,V83,X83,Z83,AB83,AD83)</f>
        <v/>
      </c>
      <c r="AG83" s="13">
        <f>AE83+AF83</f>
        <v/>
      </c>
    </row>
    <row r="84">
      <c r="A84" s="5" t="n">
        <v>79</v>
      </c>
      <c r="B84" s="27" t="inlineStr">
        <is>
          <t>Kemalpaşa</t>
        </is>
      </c>
      <c r="C84" s="7" t="n"/>
      <c r="D84" s="7" t="n"/>
      <c r="E84" s="7" t="n"/>
      <c r="F84" s="7" t="n"/>
      <c r="G84" s="7" t="n"/>
      <c r="H84" s="7" t="n"/>
      <c r="I84" s="7" t="n">
        <v>12565.07</v>
      </c>
      <c r="J84" s="7" t="n">
        <v>2474.93</v>
      </c>
      <c r="K84" s="7" t="n">
        <v>15829.25</v>
      </c>
      <c r="L84" s="7" t="n">
        <v>15282.17</v>
      </c>
      <c r="M84" s="7" t="n">
        <v>16073.2</v>
      </c>
      <c r="N84" s="7" t="n">
        <v>19436.01</v>
      </c>
      <c r="O84" s="7" t="n">
        <v>97168.7</v>
      </c>
      <c r="P84" s="7" t="n">
        <v>13234.38</v>
      </c>
      <c r="Q84" s="7" t="n">
        <v>328488.4</v>
      </c>
      <c r="R84" s="7" t="n">
        <v>36219.67</v>
      </c>
      <c r="S84" s="7" t="n">
        <v>315889.3</v>
      </c>
      <c r="T84" s="7" t="n">
        <v>34345.201</v>
      </c>
      <c r="U84" s="7" t="n">
        <v>208368.55</v>
      </c>
      <c r="V84" s="7" t="n">
        <v>19438.55</v>
      </c>
      <c r="W84" s="7" t="n">
        <v>250471.62</v>
      </c>
      <c r="X84" s="7" t="n">
        <v>39349.451</v>
      </c>
      <c r="Y84" s="7" t="n">
        <v>193001.06</v>
      </c>
      <c r="Z84" s="7" t="n">
        <v>34046.67</v>
      </c>
      <c r="AA84" s="7" t="n">
        <v>137807.02</v>
      </c>
      <c r="AB84" s="7" t="n">
        <v>21298.84</v>
      </c>
      <c r="AC84" s="7" t="n">
        <v>85262.69</v>
      </c>
      <c r="AD84" s="7" t="n">
        <v>26697.95</v>
      </c>
      <c r="AE84" s="8">
        <f>SUM(C84,E84,G84,I84,K84,M84,O84,Q84,S84,U84,W84,Y84,AA84,AC84)</f>
        <v/>
      </c>
      <c r="AF84" s="8">
        <f>SUM(D84,F84,H84,J84,L84,N84,P84,R84,T84,V84,X84,Z84,AB84,AD84)</f>
        <v/>
      </c>
      <c r="AG84" s="8">
        <f>AE84+AF84</f>
        <v/>
      </c>
    </row>
    <row r="85">
      <c r="A85" s="10" t="n">
        <v>80</v>
      </c>
      <c r="B85" s="28" t="inlineStr">
        <is>
          <t>Bozüyük</t>
        </is>
      </c>
      <c r="C85" s="12" t="n">
        <v>51390.962</v>
      </c>
      <c r="D85" s="12" t="n">
        <v>191847.746</v>
      </c>
      <c r="E85" s="12" t="n">
        <v>37227.512</v>
      </c>
      <c r="F85" s="12" t="n">
        <v>146285.125</v>
      </c>
      <c r="G85" s="12" t="n">
        <v>42609.94</v>
      </c>
      <c r="H85" s="12" t="n">
        <v>137156.351</v>
      </c>
      <c r="I85" s="12" t="n">
        <v>74709.63</v>
      </c>
      <c r="J85" s="12" t="n">
        <v>388481.503</v>
      </c>
      <c r="K85" s="12" t="n">
        <v>35811.625</v>
      </c>
      <c r="L85" s="12" t="n">
        <v>178565.51</v>
      </c>
      <c r="M85" s="12" t="n">
        <v>14436.08</v>
      </c>
      <c r="N85" s="12" t="n">
        <v>64124.39</v>
      </c>
      <c r="O85" s="12" t="n">
        <v>4265.1</v>
      </c>
      <c r="P85" s="12" t="n">
        <v>1314.33</v>
      </c>
      <c r="Q85" s="12" t="n">
        <v>3098.927</v>
      </c>
      <c r="R85" s="12" t="n">
        <v>959.6900000000001</v>
      </c>
      <c r="S85" s="12" t="n">
        <v>32129.624</v>
      </c>
      <c r="T85" s="12" t="n">
        <v>83480.16499999999</v>
      </c>
      <c r="U85" s="12" t="n">
        <v>28569.819</v>
      </c>
      <c r="V85" s="12" t="n">
        <v>129117.6</v>
      </c>
      <c r="W85" s="12" t="n">
        <v>24290.965</v>
      </c>
      <c r="X85" s="12" t="n">
        <v>74135.81</v>
      </c>
      <c r="Y85" s="12" t="n">
        <v>12923.196</v>
      </c>
      <c r="Z85" s="12" t="n">
        <v>59915.843</v>
      </c>
      <c r="AA85" s="12" t="n">
        <v>4740.1</v>
      </c>
      <c r="AB85" s="12" t="n">
        <v>17937.47</v>
      </c>
      <c r="AC85" s="12" t="n">
        <v>811.48</v>
      </c>
      <c r="AD85" s="12" t="n">
        <v>3721</v>
      </c>
      <c r="AE85" s="13">
        <f>SUM(C85,E85,G85,I85,K85,M85,O85,Q85,S85,U85,W85,Y85,AA85,AC85)</f>
        <v/>
      </c>
      <c r="AF85" s="13">
        <f>SUM(D85,F85,H85,J85,L85,N85,P85,R85,T85,V85,X85,Z85,AB85,AD85)</f>
        <v/>
      </c>
      <c r="AG85" s="13">
        <f>AE85+AF85</f>
        <v/>
      </c>
    </row>
    <row r="86">
      <c r="A86" s="5" t="n">
        <v>81</v>
      </c>
      <c r="B86" s="27" t="inlineStr">
        <is>
          <t>Lüleburgaz</t>
        </is>
      </c>
      <c r="C86" s="7" t="n">
        <v>5265.936</v>
      </c>
      <c r="D86" s="7" t="n">
        <v>4542.042</v>
      </c>
      <c r="E86" s="7" t="n">
        <v>36371.411</v>
      </c>
      <c r="F86" s="7" t="n">
        <v>2162.64</v>
      </c>
      <c r="G86" s="7" t="n">
        <v>49724.072</v>
      </c>
      <c r="H86" s="7" t="n">
        <v>4219.8</v>
      </c>
      <c r="I86" s="7" t="n">
        <v>53974.998</v>
      </c>
      <c r="J86" s="7" t="n">
        <v>344.366</v>
      </c>
      <c r="K86" s="7" t="n">
        <v>80961.739</v>
      </c>
      <c r="L86" s="7" t="n">
        <v>2332.95</v>
      </c>
      <c r="M86" s="7" t="n">
        <v>114883.157</v>
      </c>
      <c r="N86" s="7" t="n">
        <v>7487.062</v>
      </c>
      <c r="O86" s="7" t="n">
        <v>88504.36199999999</v>
      </c>
      <c r="P86" s="7" t="n">
        <v>14165.713</v>
      </c>
      <c r="Q86" s="7" t="n">
        <v>36466.68</v>
      </c>
      <c r="R86" s="7" t="n">
        <v>10152.416</v>
      </c>
      <c r="S86" s="7" t="n">
        <v>156277.788</v>
      </c>
      <c r="T86" s="7" t="n">
        <v>30581.896</v>
      </c>
      <c r="U86" s="7" t="n">
        <v>237562.692</v>
      </c>
      <c r="V86" s="7" t="n">
        <v>45605.265</v>
      </c>
      <c r="W86" s="7" t="n">
        <v>249581.221</v>
      </c>
      <c r="X86" s="7" t="n">
        <v>37889.12</v>
      </c>
      <c r="Y86" s="7" t="n">
        <v>240210.457</v>
      </c>
      <c r="Z86" s="7" t="n">
        <v>12694.529</v>
      </c>
      <c r="AA86" s="7" t="n">
        <v>195656.623</v>
      </c>
      <c r="AB86" s="7" t="n">
        <v>6379.157</v>
      </c>
      <c r="AC86" s="7" t="n">
        <v>109561.16</v>
      </c>
      <c r="AD86" s="7" t="n">
        <v>8599.639999999999</v>
      </c>
      <c r="AE86" s="8">
        <f>SUM(C86,E86,G86,I86,K86,M86,O86,Q86,S86,U86,W86,Y86,AA86,AC86)</f>
        <v/>
      </c>
      <c r="AF86" s="8">
        <f>SUM(D86,F86,H86,J86,L86,N86,P86,R86,T86,V86,X86,Z86,AB86,AD86)</f>
        <v/>
      </c>
      <c r="AG86" s="8">
        <f>AE86+AF86</f>
        <v/>
      </c>
    </row>
    <row r="87">
      <c r="A87" s="10" t="n">
        <v>82</v>
      </c>
      <c r="B87" s="28" t="inlineStr">
        <is>
          <t>Yerköy</t>
        </is>
      </c>
      <c r="C87" s="12" t="n">
        <v>236734.505</v>
      </c>
      <c r="D87" s="12" t="n">
        <v>48285.66</v>
      </c>
      <c r="E87" s="12" t="n">
        <v>224715.415</v>
      </c>
      <c r="F87" s="12" t="n">
        <v>67404.74400000001</v>
      </c>
      <c r="G87" s="12" t="n">
        <v>252725.63</v>
      </c>
      <c r="H87" s="12" t="n">
        <v>89153.56200000001</v>
      </c>
      <c r="I87" s="12" t="n">
        <v>215437.755</v>
      </c>
      <c r="J87" s="12" t="n">
        <v>62732.495</v>
      </c>
      <c r="K87" s="12" t="n">
        <v>132039.52</v>
      </c>
      <c r="L87" s="12" t="n">
        <v>25923.075</v>
      </c>
      <c r="M87" s="12" t="n">
        <v>23918.82</v>
      </c>
      <c r="N87" s="12" t="n">
        <v>24838.76</v>
      </c>
      <c r="O87" s="12" t="n">
        <v>10864.29</v>
      </c>
      <c r="P87" s="12" t="n">
        <v>157942.442</v>
      </c>
      <c r="Q87" s="12" t="n">
        <v>13966.735</v>
      </c>
      <c r="R87" s="12" t="n">
        <v>60507.665</v>
      </c>
      <c r="S87" s="12" t="n">
        <v>28486.74</v>
      </c>
      <c r="T87" s="12" t="n">
        <v>7910.428</v>
      </c>
      <c r="U87" s="12" t="n">
        <v>34807.404</v>
      </c>
      <c r="V87" s="12" t="n">
        <v>3440.955</v>
      </c>
      <c r="W87" s="12" t="n">
        <v>23545.828</v>
      </c>
      <c r="X87" s="12" t="n">
        <v>6661.125</v>
      </c>
      <c r="Y87" s="12" t="n">
        <v>15553.901</v>
      </c>
      <c r="Z87" s="12" t="n">
        <v>10787.861</v>
      </c>
      <c r="AA87" s="12" t="n">
        <v>24745.46</v>
      </c>
      <c r="AB87" s="12" t="n">
        <v>8864.559999999999</v>
      </c>
      <c r="AC87" s="12" t="n">
        <v>20943.33</v>
      </c>
      <c r="AD87" s="12" t="n">
        <v>8756.09</v>
      </c>
      <c r="AE87" s="13">
        <f>SUM(C87,E87,G87,I87,K87,M87,O87,Q87,S87,U87,W87,Y87,AA87,AC87)</f>
        <v/>
      </c>
      <c r="AF87" s="13">
        <f>SUM(D87,F87,H87,J87,L87,N87,P87,R87,T87,V87,X87,Z87,AB87,AD87)</f>
        <v/>
      </c>
      <c r="AG87" s="13">
        <f>AE87+AF87</f>
        <v/>
      </c>
    </row>
    <row r="88">
      <c r="A88" s="5" t="n">
        <v>83</v>
      </c>
      <c r="B88" s="27" t="inlineStr">
        <is>
          <t>Aşkale</t>
        </is>
      </c>
      <c r="C88" s="7" t="n"/>
      <c r="D88" s="7" t="n">
        <v>18207.7</v>
      </c>
      <c r="E88" s="7" t="n">
        <v>138362.805</v>
      </c>
      <c r="F88" s="7" t="n">
        <v>75949.72500000001</v>
      </c>
      <c r="G88" s="7" t="n">
        <v>53490.75</v>
      </c>
      <c r="H88" s="7" t="n">
        <v>27892</v>
      </c>
      <c r="I88" s="7" t="n">
        <v>222043.24</v>
      </c>
      <c r="J88" s="7" t="n">
        <v>59056.03</v>
      </c>
      <c r="K88" s="7" t="n">
        <v>202722.85</v>
      </c>
      <c r="L88" s="7" t="n">
        <v>45759.59</v>
      </c>
      <c r="M88" s="7" t="n">
        <v>267083.45</v>
      </c>
      <c r="N88" s="7" t="n">
        <v>30959.975</v>
      </c>
      <c r="O88" s="7" t="n">
        <v>101240.334</v>
      </c>
      <c r="P88" s="7" t="n">
        <v>33079.27</v>
      </c>
      <c r="Q88" s="7" t="n">
        <v>183302.55</v>
      </c>
      <c r="R88" s="7" t="n">
        <v>46034.64</v>
      </c>
      <c r="S88" s="7" t="n">
        <v>27196.25</v>
      </c>
      <c r="T88" s="7" t="n">
        <v>23643.875</v>
      </c>
      <c r="U88" s="7" t="n">
        <v>11618</v>
      </c>
      <c r="V88" s="7" t="n">
        <v>3907.95</v>
      </c>
      <c r="W88" s="7" t="n">
        <v>21964.745</v>
      </c>
      <c r="X88" s="7" t="n">
        <v>24090.35</v>
      </c>
      <c r="Y88" s="7" t="n">
        <v>14447.8</v>
      </c>
      <c r="Z88" s="7" t="n">
        <v>36705.35</v>
      </c>
      <c r="AA88" s="7" t="n">
        <v>8789.57</v>
      </c>
      <c r="AB88" s="7" t="n">
        <v>1689.6</v>
      </c>
      <c r="AC88" s="7" t="n">
        <v>146870.7</v>
      </c>
      <c r="AD88" s="7" t="n">
        <v>866</v>
      </c>
      <c r="AE88" s="8">
        <f>SUM(C88,E88,G88,I88,K88,M88,O88,Q88,S88,U88,W88,Y88,AA88,AC88)</f>
        <v/>
      </c>
      <c r="AF88" s="8">
        <f>SUM(D88,F88,H88,J88,L88,N88,P88,R88,T88,V88,X88,Z88,AB88,AD88)</f>
        <v/>
      </c>
      <c r="AG88" s="8">
        <f>AE88+AF88</f>
        <v/>
      </c>
    </row>
    <row r="89">
      <c r="A89" s="10" t="n">
        <v>84</v>
      </c>
      <c r="B89" s="28" t="inlineStr">
        <is>
          <t>Tatvan</t>
        </is>
      </c>
      <c r="C89" s="12" t="n">
        <v>12020.8</v>
      </c>
      <c r="D89" s="12" t="n">
        <v>104980.809</v>
      </c>
      <c r="E89" s="12" t="n">
        <v>26398.54</v>
      </c>
      <c r="F89" s="12" t="n">
        <v>322968.952</v>
      </c>
      <c r="G89" s="12" t="n">
        <v>19488.93</v>
      </c>
      <c r="H89" s="12" t="n">
        <v>155818.251</v>
      </c>
      <c r="I89" s="12" t="n">
        <v>29014</v>
      </c>
      <c r="J89" s="12" t="n">
        <v>156283.914</v>
      </c>
      <c r="K89" s="12" t="n">
        <v>33492.15</v>
      </c>
      <c r="L89" s="12" t="n">
        <v>297463.778</v>
      </c>
      <c r="M89" s="12" t="n">
        <v>42046.46</v>
      </c>
      <c r="N89" s="12" t="n">
        <v>136634.423</v>
      </c>
      <c r="O89" s="12" t="n">
        <v>9086.254999999999</v>
      </c>
      <c r="P89" s="12" t="n">
        <v>50243.4</v>
      </c>
      <c r="Q89" s="12" t="n">
        <v>13994.964</v>
      </c>
      <c r="R89" s="12" t="n">
        <v>80488.05499999999</v>
      </c>
      <c r="S89" s="12" t="n">
        <v>11467.365</v>
      </c>
      <c r="T89" s="12" t="n">
        <v>61367.03</v>
      </c>
      <c r="U89" s="12" t="n">
        <v>18505.759</v>
      </c>
      <c r="V89" s="12" t="n">
        <v>56127.172</v>
      </c>
      <c r="W89" s="12" t="n">
        <v>9553.120000000001</v>
      </c>
      <c r="X89" s="12" t="n">
        <v>43199.488</v>
      </c>
      <c r="Y89" s="12" t="n">
        <v>5892.99</v>
      </c>
      <c r="Z89" s="12" t="n">
        <v>33096.763</v>
      </c>
      <c r="AA89" s="12" t="n">
        <v>11356.882</v>
      </c>
      <c r="AB89" s="12" t="n">
        <v>38163.043</v>
      </c>
      <c r="AC89" s="12" t="n">
        <v>4886.685</v>
      </c>
      <c r="AD89" s="12" t="n">
        <v>20835.582</v>
      </c>
      <c r="AE89" s="13">
        <f>SUM(C89,E89,G89,I89,K89,M89,O89,Q89,S89,U89,W89,Y89,AA89,AC89)</f>
        <v/>
      </c>
      <c r="AF89" s="13">
        <f>SUM(D89,F89,H89,J89,L89,N89,P89,R89,T89,V89,X89,Z89,AB89,AD89)</f>
        <v/>
      </c>
      <c r="AG89" s="13">
        <f>AE89+AF89</f>
        <v/>
      </c>
    </row>
    <row r="90">
      <c r="A90" s="5" t="n">
        <v>85</v>
      </c>
      <c r="B90" s="27" t="inlineStr">
        <is>
          <t>Samsun Liman</t>
        </is>
      </c>
      <c r="C90" s="7" t="n">
        <v>162898.31</v>
      </c>
      <c r="D90" s="7" t="n">
        <v>556848.96</v>
      </c>
      <c r="E90" s="7" t="n">
        <v>149714.32</v>
      </c>
      <c r="F90" s="7" t="n">
        <v>282008.787</v>
      </c>
      <c r="G90" s="7" t="n">
        <v>140378.553</v>
      </c>
      <c r="H90" s="7" t="n">
        <v>89183.887</v>
      </c>
      <c r="I90" s="7" t="n"/>
      <c r="J90" s="7" t="n"/>
      <c r="K90" s="7" t="n"/>
      <c r="L90" s="7" t="n"/>
      <c r="M90" s="7" t="n"/>
      <c r="N90" s="7" t="n"/>
      <c r="O90" s="7" t="n"/>
      <c r="P90" s="7" t="n"/>
      <c r="Q90" s="7" t="n">
        <v>18216.301</v>
      </c>
      <c r="R90" s="7" t="n"/>
      <c r="S90" s="7" t="n">
        <v>76092.808</v>
      </c>
      <c r="T90" s="7" t="n">
        <v>3088.35</v>
      </c>
      <c r="U90" s="7" t="n">
        <v>55594.955</v>
      </c>
      <c r="V90" s="7" t="n">
        <v>2377.05</v>
      </c>
      <c r="W90" s="7" t="n">
        <v>51148.612</v>
      </c>
      <c r="X90" s="7" t="n">
        <v>1411.44</v>
      </c>
      <c r="Y90" s="7" t="n">
        <v>64465.41</v>
      </c>
      <c r="Z90" s="7" t="n">
        <v>5468.704</v>
      </c>
      <c r="AA90" s="7" t="n">
        <v>89170.99099999999</v>
      </c>
      <c r="AB90" s="7" t="n">
        <v>7000.999</v>
      </c>
      <c r="AC90" s="7" t="n">
        <v>30567.31</v>
      </c>
      <c r="AD90" s="7" t="n">
        <v>1151.7</v>
      </c>
      <c r="AE90" s="8">
        <f>SUM(C90,E90,G90,I90,K90,M90,O90,Q90,S90,U90,W90,Y90,AA90,AC90)</f>
        <v/>
      </c>
      <c r="AF90" s="8">
        <f>SUM(D90,F90,H90,J90,L90,N90,P90,R90,T90,V90,X90,Z90,AB90,AD90)</f>
        <v/>
      </c>
      <c r="AG90" s="8">
        <f>AE90+AF90</f>
        <v/>
      </c>
    </row>
    <row r="91">
      <c r="A91" s="10" t="n">
        <v>86</v>
      </c>
      <c r="B91" s="28" t="inlineStr">
        <is>
          <t>Leylek</t>
        </is>
      </c>
      <c r="C91" s="12" t="n">
        <v>60358.44</v>
      </c>
      <c r="D91" s="12" t="n">
        <v>4453.2</v>
      </c>
      <c r="E91" s="12" t="n">
        <v>27734.72</v>
      </c>
      <c r="F91" s="12" t="n">
        <v>2880.83</v>
      </c>
      <c r="G91" s="12" t="n">
        <v>1773.62</v>
      </c>
      <c r="H91" s="12" t="n">
        <v>48451.208</v>
      </c>
      <c r="I91" s="12" t="n">
        <v>25151.5</v>
      </c>
      <c r="J91" s="12" t="n">
        <v>62292.391</v>
      </c>
      <c r="K91" s="12" t="n">
        <v>27084.646</v>
      </c>
      <c r="L91" s="12" t="n">
        <v>78008.628</v>
      </c>
      <c r="M91" s="12" t="n">
        <v>66960.97500000001</v>
      </c>
      <c r="N91" s="12" t="n">
        <v>128246.489</v>
      </c>
      <c r="O91" s="12" t="n">
        <v>59591.3</v>
      </c>
      <c r="P91" s="12" t="n">
        <v>137279.192</v>
      </c>
      <c r="Q91" s="12" t="n">
        <v>51241.13</v>
      </c>
      <c r="R91" s="12" t="n">
        <v>124339.632</v>
      </c>
      <c r="S91" s="12" t="n">
        <v>75282.80499999999</v>
      </c>
      <c r="T91" s="12" t="n">
        <v>163400.814</v>
      </c>
      <c r="U91" s="12" t="n">
        <v>68342.985</v>
      </c>
      <c r="V91" s="12" t="n">
        <v>165971.158</v>
      </c>
      <c r="W91" s="12" t="n">
        <v>47782.825</v>
      </c>
      <c r="X91" s="12" t="n">
        <v>107712.621</v>
      </c>
      <c r="Y91" s="12" t="n">
        <v>38296.072</v>
      </c>
      <c r="Z91" s="12" t="n">
        <v>76945.251</v>
      </c>
      <c r="AA91" s="12" t="n">
        <v>19897.631</v>
      </c>
      <c r="AB91" s="12" t="n">
        <v>44831.461</v>
      </c>
      <c r="AC91" s="12" t="n">
        <v>19436.734</v>
      </c>
      <c r="AD91" s="12" t="n">
        <v>39605.733</v>
      </c>
      <c r="AE91" s="13">
        <f>SUM(C91,E91,G91,I91,K91,M91,O91,Q91,S91,U91,W91,Y91,AA91,AC91)</f>
        <v/>
      </c>
      <c r="AF91" s="13">
        <f>SUM(D91,F91,H91,J91,L91,N91,P91,R91,T91,V91,X91,Z91,AB91,AD91)</f>
        <v/>
      </c>
      <c r="AG91" s="13">
        <f>AE91+AF91</f>
        <v/>
      </c>
    </row>
    <row r="92">
      <c r="A92" s="5" t="n">
        <v>87</v>
      </c>
      <c r="B92" s="27" t="inlineStr">
        <is>
          <t>Hasanbey</t>
        </is>
      </c>
      <c r="C92" s="7" t="n"/>
      <c r="D92" s="7" t="n"/>
      <c r="E92" s="7" t="n">
        <v>75566.57799999999</v>
      </c>
      <c r="F92" s="7" t="n">
        <v>109081.561</v>
      </c>
      <c r="G92" s="7" t="n">
        <v>54431.663</v>
      </c>
      <c r="H92" s="7" t="n">
        <v>104480.638</v>
      </c>
      <c r="I92" s="7" t="n">
        <v>51160.216</v>
      </c>
      <c r="J92" s="7" t="n">
        <v>133469.127</v>
      </c>
      <c r="K92" s="7" t="n">
        <v>33085.195</v>
      </c>
      <c r="L92" s="7" t="n">
        <v>35726.305</v>
      </c>
      <c r="M92" s="7" t="n">
        <v>26353.889</v>
      </c>
      <c r="N92" s="7" t="n">
        <v>18941.571</v>
      </c>
      <c r="O92" s="7" t="n">
        <v>35498.54</v>
      </c>
      <c r="P92" s="7" t="n">
        <v>30288.492</v>
      </c>
      <c r="Q92" s="7" t="n">
        <v>29218.824</v>
      </c>
      <c r="R92" s="7" t="n">
        <v>54038.596</v>
      </c>
      <c r="S92" s="7" t="n">
        <v>36265.58</v>
      </c>
      <c r="T92" s="7" t="n">
        <v>89221.95699999999</v>
      </c>
      <c r="U92" s="7" t="n">
        <v>60526.315</v>
      </c>
      <c r="V92" s="7" t="n">
        <v>109123.923</v>
      </c>
      <c r="W92" s="7" t="n">
        <v>37440.841</v>
      </c>
      <c r="X92" s="7" t="n">
        <v>79881.834</v>
      </c>
      <c r="Y92" s="7" t="n">
        <v>54884.495</v>
      </c>
      <c r="Z92" s="7" t="n">
        <v>129777.139</v>
      </c>
      <c r="AA92" s="7" t="n">
        <v>52612.593</v>
      </c>
      <c r="AB92" s="7" t="n">
        <v>127761.479</v>
      </c>
      <c r="AC92" s="7" t="n">
        <v>58521.128</v>
      </c>
      <c r="AD92" s="7" t="n">
        <v>111648.541</v>
      </c>
      <c r="AE92" s="8">
        <f>SUM(C92,E92,G92,I92,K92,M92,O92,Q92,S92,U92,W92,Y92,AA92,AC92)</f>
        <v/>
      </c>
      <c r="AF92" s="8">
        <f>SUM(D92,F92,H92,J92,L92,N92,P92,R92,T92,V92,X92,Z92,AB92,AD92)</f>
        <v/>
      </c>
      <c r="AG92" s="8">
        <f>AE92+AF92</f>
        <v/>
      </c>
    </row>
    <row r="93">
      <c r="A93" s="10" t="n">
        <v>88</v>
      </c>
      <c r="B93" s="28" t="inlineStr">
        <is>
          <t>Gökköy</t>
        </is>
      </c>
      <c r="C93" s="12" t="n"/>
      <c r="D93" s="12" t="n"/>
      <c r="E93" s="12" t="n"/>
      <c r="F93" s="12" t="n"/>
      <c r="G93" s="12" t="n">
        <v>67574.29399999999</v>
      </c>
      <c r="H93" s="12" t="n">
        <v>11083.929</v>
      </c>
      <c r="I93" s="12" t="n">
        <v>22921.473</v>
      </c>
      <c r="J93" s="12" t="n">
        <v>43386.315</v>
      </c>
      <c r="K93" s="12" t="n">
        <v>103398.687</v>
      </c>
      <c r="L93" s="12" t="n">
        <v>103493.931</v>
      </c>
      <c r="M93" s="12" t="n">
        <v>155906.211</v>
      </c>
      <c r="N93" s="12" t="n">
        <v>126326.245</v>
      </c>
      <c r="O93" s="12" t="n">
        <v>56076.508</v>
      </c>
      <c r="P93" s="12" t="n">
        <v>142873.166</v>
      </c>
      <c r="Q93" s="12" t="n">
        <v>48999.18</v>
      </c>
      <c r="R93" s="12" t="n">
        <v>98690.895</v>
      </c>
      <c r="S93" s="12" t="n">
        <v>22646.806</v>
      </c>
      <c r="T93" s="12" t="n">
        <v>147983.883</v>
      </c>
      <c r="U93" s="12" t="n">
        <v>10753.916</v>
      </c>
      <c r="V93" s="12" t="n">
        <v>132876.993</v>
      </c>
      <c r="W93" s="12" t="n">
        <v>6309.864</v>
      </c>
      <c r="X93" s="12" t="n">
        <v>156723.768</v>
      </c>
      <c r="Y93" s="12" t="n">
        <v>34794.796</v>
      </c>
      <c r="Z93" s="12" t="n">
        <v>172154.955</v>
      </c>
      <c r="AA93" s="12" t="n">
        <v>11434.244</v>
      </c>
      <c r="AB93" s="12" t="n">
        <v>22684.121</v>
      </c>
      <c r="AC93" s="12" t="n">
        <v>1483.525</v>
      </c>
      <c r="AD93" s="12" t="n">
        <v>1889.325</v>
      </c>
      <c r="AE93" s="13">
        <f>SUM(C93,E93,G93,I93,K93,M93,O93,Q93,S93,U93,W93,Y93,AA93,AC93)</f>
        <v/>
      </c>
      <c r="AF93" s="13">
        <f>SUM(D93,F93,H93,J93,L93,N93,P93,R93,T93,V93,X93,Z93,AB93,AD93)</f>
        <v/>
      </c>
      <c r="AG93" s="13">
        <f>AE93+AF93</f>
        <v/>
      </c>
    </row>
    <row r="94">
      <c r="A94" s="5" t="n">
        <v>89</v>
      </c>
      <c r="B94" s="27" t="inlineStr">
        <is>
          <t>Kapıkule</t>
        </is>
      </c>
      <c r="C94" s="7" t="n">
        <v>17831.722</v>
      </c>
      <c r="D94" s="7" t="n">
        <v>6410.363</v>
      </c>
      <c r="E94" s="7" t="n">
        <v>18735.557</v>
      </c>
      <c r="F94" s="7" t="n">
        <v>13393.306</v>
      </c>
      <c r="G94" s="7" t="n">
        <v>16703.102</v>
      </c>
      <c r="H94" s="7" t="n">
        <v>5758.686</v>
      </c>
      <c r="I94" s="7" t="n">
        <v>14218.265</v>
      </c>
      <c r="J94" s="7" t="n">
        <v>6252.85</v>
      </c>
      <c r="K94" s="7" t="n">
        <v>11556.699</v>
      </c>
      <c r="L94" s="7" t="n">
        <v>6271.788</v>
      </c>
      <c r="M94" s="7" t="n">
        <v>8218.115</v>
      </c>
      <c r="N94" s="7" t="n">
        <v>9956.517</v>
      </c>
      <c r="O94" s="7" t="n">
        <v>80657.288</v>
      </c>
      <c r="P94" s="7" t="n">
        <v>14750.501</v>
      </c>
      <c r="Q94" s="7" t="n">
        <v>288141.568</v>
      </c>
      <c r="R94" s="7" t="n">
        <v>31730.279</v>
      </c>
      <c r="S94" s="7" t="n">
        <v>419426.924</v>
      </c>
      <c r="T94" s="7" t="n">
        <v>46847.257</v>
      </c>
      <c r="U94" s="7" t="n">
        <v>268241.931</v>
      </c>
      <c r="V94" s="7" t="n">
        <v>38698.442</v>
      </c>
      <c r="W94" s="7" t="n">
        <v>172408.591</v>
      </c>
      <c r="X94" s="7" t="n">
        <v>28769.716</v>
      </c>
      <c r="Y94" s="7" t="n">
        <v>101760.481</v>
      </c>
      <c r="Z94" s="7" t="n">
        <v>21932.568</v>
      </c>
      <c r="AA94" s="7" t="n">
        <v>1568.426</v>
      </c>
      <c r="AB94" s="7" t="n">
        <v>4839.717</v>
      </c>
      <c r="AC94" s="7" t="n">
        <v>469.949</v>
      </c>
      <c r="AD94" s="7" t="n">
        <v>1265.828</v>
      </c>
      <c r="AE94" s="8">
        <f>SUM(C94,E94,G94,I94,K94,M94,O94,Q94,S94,U94,W94,Y94,AA94,AC94)</f>
        <v/>
      </c>
      <c r="AF94" s="8">
        <f>SUM(D94,F94,H94,J94,L94,N94,P94,R94,T94,V94,X94,Z94,AB94,AD94)</f>
        <v/>
      </c>
      <c r="AG94" s="8">
        <f>AE94+AF94</f>
        <v/>
      </c>
    </row>
    <row r="95">
      <c r="A95" s="10" t="n">
        <v>90</v>
      </c>
      <c r="B95" s="28" t="inlineStr">
        <is>
          <t>Seyitler</t>
        </is>
      </c>
      <c r="C95" s="12" t="n"/>
      <c r="D95" s="12" t="n"/>
      <c r="E95" s="12" t="n">
        <v>18360</v>
      </c>
      <c r="F95" s="12" t="n">
        <v>96006.25</v>
      </c>
      <c r="G95" s="12" t="n">
        <v>26165</v>
      </c>
      <c r="H95" s="12" t="n">
        <v>145044.155</v>
      </c>
      <c r="I95" s="12" t="n">
        <v>24820</v>
      </c>
      <c r="J95" s="12" t="n">
        <v>144900.175</v>
      </c>
      <c r="K95" s="12" t="n"/>
      <c r="L95" s="12" t="n">
        <v>33852.5</v>
      </c>
      <c r="M95" s="12" t="n"/>
      <c r="N95" s="12" t="n">
        <v>125110.482</v>
      </c>
      <c r="O95" s="12" t="n">
        <v>11506.554</v>
      </c>
      <c r="P95" s="12" t="n">
        <v>214180.432</v>
      </c>
      <c r="Q95" s="12" t="n">
        <v>34280.044</v>
      </c>
      <c r="R95" s="12" t="n">
        <v>201841.657</v>
      </c>
      <c r="S95" s="12" t="n">
        <v>29351.591</v>
      </c>
      <c r="T95" s="12" t="n">
        <v>150239.787</v>
      </c>
      <c r="U95" s="12" t="n">
        <v>22370.136</v>
      </c>
      <c r="V95" s="12" t="n">
        <v>98596.69</v>
      </c>
      <c r="W95" s="12" t="n">
        <v>20777.5</v>
      </c>
      <c r="X95" s="12" t="n">
        <v>107696.81</v>
      </c>
      <c r="Y95" s="12" t="n">
        <v>16185.6</v>
      </c>
      <c r="Z95" s="12" t="n">
        <v>63193.64</v>
      </c>
      <c r="AA95" s="12" t="n">
        <v>14061</v>
      </c>
      <c r="AB95" s="12" t="n">
        <v>3857.17</v>
      </c>
      <c r="AC95" s="12" t="n">
        <v>9013.15</v>
      </c>
      <c r="AD95" s="12" t="n">
        <v>15582.75</v>
      </c>
      <c r="AE95" s="13">
        <f>SUM(C95,E95,G95,I95,K95,M95,O95,Q95,S95,U95,W95,Y95,AA95,AC95)</f>
        <v/>
      </c>
      <c r="AF95" s="13">
        <f>SUM(D95,F95,H95,J95,L95,N95,P95,R95,T95,V95,X95,Z95,AB95,AD95)</f>
        <v/>
      </c>
      <c r="AG95" s="13">
        <f>AE95+AF95</f>
        <v/>
      </c>
    </row>
    <row r="96">
      <c r="A96" s="5" t="n">
        <v>91</v>
      </c>
      <c r="B96" s="27" t="inlineStr">
        <is>
          <t>Türkoğlu</t>
        </is>
      </c>
      <c r="C96" s="7" t="n">
        <v>19755.25</v>
      </c>
      <c r="D96" s="7" t="n">
        <v>15151.7</v>
      </c>
      <c r="E96" s="7" t="n">
        <v>31110</v>
      </c>
      <c r="F96" s="7" t="n">
        <v>7688.151</v>
      </c>
      <c r="G96" s="7" t="n">
        <v>87889.39999999999</v>
      </c>
      <c r="H96" s="7" t="n">
        <v>813</v>
      </c>
      <c r="I96" s="7" t="n">
        <v>6942.22</v>
      </c>
      <c r="J96" s="7" t="n">
        <v>18079.3</v>
      </c>
      <c r="K96" s="7" t="n">
        <v>38435.2</v>
      </c>
      <c r="L96" s="7" t="n">
        <v>30535.56</v>
      </c>
      <c r="M96" s="7" t="n">
        <v>31336.915</v>
      </c>
      <c r="N96" s="7" t="n">
        <v>17263.44</v>
      </c>
      <c r="O96" s="7" t="n">
        <v>33830.15</v>
      </c>
      <c r="P96" s="7" t="n">
        <v>68809.667</v>
      </c>
      <c r="Q96" s="7" t="n">
        <v>115103.696</v>
      </c>
      <c r="R96" s="7" t="n">
        <v>161804.286</v>
      </c>
      <c r="S96" s="7" t="n">
        <v>62691.49</v>
      </c>
      <c r="T96" s="7" t="n">
        <v>380890.55</v>
      </c>
      <c r="U96" s="7" t="n">
        <v>105914.622</v>
      </c>
      <c r="V96" s="7" t="n">
        <v>182511.838</v>
      </c>
      <c r="W96" s="7" t="n">
        <v>18577.275</v>
      </c>
      <c r="X96" s="7" t="n">
        <v>79259.649</v>
      </c>
      <c r="Y96" s="7" t="n">
        <v>0</v>
      </c>
      <c r="Z96" s="7" t="n"/>
      <c r="AA96" s="7" t="n">
        <v>1396.88</v>
      </c>
      <c r="AB96" s="7" t="n">
        <v>8050.022</v>
      </c>
      <c r="AC96" s="7" t="n">
        <v>13363.645</v>
      </c>
      <c r="AD96" s="7" t="n">
        <v>25090.682</v>
      </c>
      <c r="AE96" s="8">
        <f>SUM(C96,E96,G96,I96,K96,M96,O96,Q96,S96,U96,W96,Y96,AA96,AC96)</f>
        <v/>
      </c>
      <c r="AF96" s="8">
        <f>SUM(D96,F96,H96,J96,L96,N96,P96,R96,T96,V96,X96,Z96,AB96,AD96)</f>
        <v/>
      </c>
      <c r="AG96" s="8">
        <f>AE96+AF96</f>
        <v/>
      </c>
    </row>
    <row r="97">
      <c r="A97" s="10" t="n">
        <v>92</v>
      </c>
      <c r="B97" s="28" t="inlineStr">
        <is>
          <t>Samsun</t>
        </is>
      </c>
      <c r="C97" s="12" t="n">
        <v>62802.68</v>
      </c>
      <c r="D97" s="12" t="n">
        <v>40517.952</v>
      </c>
      <c r="E97" s="12" t="n">
        <v>287579.745</v>
      </c>
      <c r="F97" s="12" t="n">
        <v>568804.612</v>
      </c>
      <c r="G97" s="12" t="n">
        <v>148646.105</v>
      </c>
      <c r="H97" s="12" t="n">
        <v>436221.452</v>
      </c>
      <c r="I97" s="12" t="n"/>
      <c r="J97" s="12" t="n"/>
      <c r="K97" s="12" t="n"/>
      <c r="L97" s="12" t="n"/>
      <c r="M97" s="12" t="n"/>
      <c r="N97" s="12" t="n"/>
      <c r="O97" s="12" t="n"/>
      <c r="P97" s="12" t="n"/>
      <c r="Q97" s="12" t="n">
        <v>77.355</v>
      </c>
      <c r="R97" s="12" t="n">
        <v>330.85</v>
      </c>
      <c r="S97" s="12" t="n"/>
      <c r="T97" s="12" t="n">
        <v>304.45</v>
      </c>
      <c r="U97" s="12" t="n"/>
      <c r="V97" s="12" t="n"/>
      <c r="W97" s="12" t="n"/>
      <c r="X97" s="12" t="n"/>
      <c r="Y97" s="12" t="n"/>
      <c r="Z97" s="12" t="n"/>
      <c r="AA97" s="12" t="n"/>
      <c r="AB97" s="12" t="n"/>
      <c r="AC97" s="12" t="n"/>
      <c r="AD97" s="12" t="n"/>
      <c r="AE97" s="13">
        <f>SUM(C97,E97,G97,I97,K97,M97,O97,Q97,S97,U97,W97,Y97,AA97,AC97)</f>
        <v/>
      </c>
      <c r="AF97" s="13">
        <f>SUM(D97,F97,H97,J97,L97,N97,P97,R97,T97,V97,X97,Z97,AB97,AD97)</f>
        <v/>
      </c>
      <c r="AG97" s="13">
        <f>AE97+AF97</f>
        <v/>
      </c>
    </row>
    <row r="98">
      <c r="A98" s="5" t="n">
        <v>93</v>
      </c>
      <c r="B98" s="27" t="inlineStr">
        <is>
          <t>Gömeç</t>
        </is>
      </c>
      <c r="C98" s="7" t="n">
        <v>285966.52</v>
      </c>
      <c r="D98" s="7" t="n">
        <v>44810.306</v>
      </c>
      <c r="E98" s="7" t="n">
        <v>440639.94</v>
      </c>
      <c r="F98" s="7" t="n">
        <v>25043.685</v>
      </c>
      <c r="G98" s="7" t="n">
        <v>178945.17</v>
      </c>
      <c r="H98" s="7" t="n">
        <v>11444.7</v>
      </c>
      <c r="I98" s="7" t="n">
        <v>74570.39999999999</v>
      </c>
      <c r="J98" s="7" t="n">
        <v>1758.1</v>
      </c>
      <c r="K98" s="7" t="n">
        <v>99850.31</v>
      </c>
      <c r="L98" s="7" t="n">
        <v>11813</v>
      </c>
      <c r="M98" s="7" t="n">
        <v>148290.15</v>
      </c>
      <c r="N98" s="7" t="n">
        <v>37901.502</v>
      </c>
      <c r="O98" s="7" t="n">
        <v>79029.2</v>
      </c>
      <c r="P98" s="7" t="n">
        <v>14535.6</v>
      </c>
      <c r="Q98" s="7" t="n">
        <v>26152.91</v>
      </c>
      <c r="R98" s="7" t="n">
        <v>4938.92</v>
      </c>
      <c r="S98" s="7" t="n">
        <v>1816.345</v>
      </c>
      <c r="T98" s="7" t="n">
        <v>8243.139999999999</v>
      </c>
      <c r="U98" s="7" t="n">
        <v>14830.94</v>
      </c>
      <c r="V98" s="7" t="n">
        <v>1185.585</v>
      </c>
      <c r="W98" s="7" t="n">
        <v>432</v>
      </c>
      <c r="X98" s="7" t="n"/>
      <c r="Y98" s="7" t="n"/>
      <c r="Z98" s="7" t="n"/>
      <c r="AA98" s="7" t="n">
        <v>1380</v>
      </c>
      <c r="AB98" s="7" t="n">
        <v>3046.25</v>
      </c>
      <c r="AC98" s="7" t="n">
        <v>0</v>
      </c>
      <c r="AD98" s="7" t="n">
        <v>0</v>
      </c>
      <c r="AE98" s="8">
        <f>SUM(C98,E98,G98,I98,K98,M98,O98,Q98,S98,U98,W98,Y98,AA98,AC98)</f>
        <v/>
      </c>
      <c r="AF98" s="8">
        <f>SUM(D98,F98,H98,J98,L98,N98,P98,R98,T98,V98,X98,Z98,AB98,AD98)</f>
        <v/>
      </c>
      <c r="AG98" s="8">
        <f>AE98+AF98</f>
        <v/>
      </c>
    </row>
    <row r="99">
      <c r="A99" s="10" t="n">
        <v>94</v>
      </c>
      <c r="B99" s="28" t="inlineStr">
        <is>
          <t>Gümüşdağ</t>
        </is>
      </c>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v>399517.174</v>
      </c>
      <c r="Z99" s="12" t="n">
        <v>157175.2</v>
      </c>
      <c r="AA99" s="12" t="n">
        <v>465981.536</v>
      </c>
      <c r="AB99" s="12" t="n">
        <v>152691.191</v>
      </c>
      <c r="AC99" s="12" t="n">
        <v>229951.92</v>
      </c>
      <c r="AD99" s="12" t="n">
        <v>86329.586</v>
      </c>
      <c r="AE99" s="13">
        <f>SUM(C99,E99,G99,I99,K99,M99,O99,Q99,S99,U99,W99,Y99,AA99,AC99)</f>
        <v/>
      </c>
      <c r="AF99" s="13">
        <f>SUM(D99,F99,H99,J99,L99,N99,P99,R99,T99,V99,X99,Z99,AB99,AD99)</f>
        <v/>
      </c>
      <c r="AG99" s="13">
        <f>AE99+AF99</f>
        <v/>
      </c>
    </row>
    <row r="100">
      <c r="A100" s="5" t="n">
        <v>95</v>
      </c>
      <c r="B100" s="27" t="inlineStr">
        <is>
          <t>Sülün</t>
        </is>
      </c>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v>24219.44</v>
      </c>
      <c r="X100" s="7" t="n"/>
      <c r="Y100" s="7" t="n">
        <v>185266.94</v>
      </c>
      <c r="Z100" s="7" t="n">
        <v>44755.64</v>
      </c>
      <c r="AA100" s="7" t="n">
        <v>548339.76</v>
      </c>
      <c r="AB100" s="7" t="n">
        <v>141604.89</v>
      </c>
      <c r="AC100" s="7" t="n">
        <v>426702.14</v>
      </c>
      <c r="AD100" s="7" t="n">
        <v>119295.64</v>
      </c>
      <c r="AE100" s="8">
        <f>SUM(C100,E100,G100,I100,K100,M100,O100,Q100,S100,U100,W100,Y100,AA100,AC100)</f>
        <v/>
      </c>
      <c r="AF100" s="8">
        <f>SUM(D100,F100,H100,J100,L100,N100,P100,R100,T100,V100,X100,Z100,AB100,AD100)</f>
        <v/>
      </c>
      <c r="AG100" s="8">
        <f>AE100+AF100</f>
        <v/>
      </c>
    </row>
    <row r="101">
      <c r="A101" s="10" t="n">
        <v>96</v>
      </c>
      <c r="B101" s="28" t="inlineStr">
        <is>
          <t>Kayseri</t>
        </is>
      </c>
      <c r="C101" s="12" t="n">
        <v>27648.15</v>
      </c>
      <c r="D101" s="12" t="n">
        <v>108776.559</v>
      </c>
      <c r="E101" s="12" t="n">
        <v>38616.107</v>
      </c>
      <c r="F101" s="12" t="n">
        <v>109367.752</v>
      </c>
      <c r="G101" s="12" t="n">
        <v>43503.06</v>
      </c>
      <c r="H101" s="12" t="n">
        <v>106521.31</v>
      </c>
      <c r="I101" s="12" t="n">
        <v>30461.48</v>
      </c>
      <c r="J101" s="12" t="n">
        <v>89946.239</v>
      </c>
      <c r="K101" s="12" t="n">
        <v>27997.135</v>
      </c>
      <c r="L101" s="12" t="n">
        <v>97507.47900000001</v>
      </c>
      <c r="M101" s="12" t="n">
        <v>38342.825</v>
      </c>
      <c r="N101" s="12" t="n">
        <v>83357.38099999999</v>
      </c>
      <c r="O101" s="12" t="n">
        <v>39433.465</v>
      </c>
      <c r="P101" s="12" t="n">
        <v>76539.053</v>
      </c>
      <c r="Q101" s="12" t="n">
        <v>38812.276</v>
      </c>
      <c r="R101" s="12" t="n">
        <v>80106.80899999999</v>
      </c>
      <c r="S101" s="12" t="n">
        <v>29956.32</v>
      </c>
      <c r="T101" s="12" t="n">
        <v>64867.707</v>
      </c>
      <c r="U101" s="12" t="n">
        <v>29105.044</v>
      </c>
      <c r="V101" s="12" t="n">
        <v>72125.792</v>
      </c>
      <c r="W101" s="12" t="n">
        <v>29851.485</v>
      </c>
      <c r="X101" s="12" t="n">
        <v>69876.723</v>
      </c>
      <c r="Y101" s="12" t="n">
        <v>19707.205</v>
      </c>
      <c r="Z101" s="12" t="n">
        <v>34709.803</v>
      </c>
      <c r="AA101" s="12" t="n">
        <v>21089.005</v>
      </c>
      <c r="AB101" s="12" t="n">
        <v>34677.211</v>
      </c>
      <c r="AC101" s="12" t="n">
        <v>15107.21</v>
      </c>
      <c r="AD101" s="12" t="n">
        <v>21025.944</v>
      </c>
      <c r="AE101" s="13">
        <f>SUM(C101,E101,G101,I101,K101,M101,O101,Q101,S101,U101,W101,Y101,AA101,AC101)</f>
        <v/>
      </c>
      <c r="AF101" s="13">
        <f>SUM(D101,F101,H101,J101,L101,N101,P101,R101,T101,V101,X101,Z101,AB101,AD101)</f>
        <v/>
      </c>
      <c r="AG101" s="13">
        <f>AE101+AF101</f>
        <v/>
      </c>
    </row>
    <row r="102">
      <c r="A102" s="5" t="n">
        <v>97</v>
      </c>
      <c r="B102" s="27" t="inlineStr">
        <is>
          <t>Kayacık</t>
        </is>
      </c>
      <c r="C102" s="7" t="n"/>
      <c r="D102" s="7" t="n"/>
      <c r="E102" s="7" t="n"/>
      <c r="F102" s="7" t="n"/>
      <c r="G102" s="7" t="n"/>
      <c r="H102" s="7" t="n"/>
      <c r="I102" s="7" t="n"/>
      <c r="J102" s="7" t="n"/>
      <c r="K102" s="7" t="n"/>
      <c r="L102" s="7" t="n"/>
      <c r="M102" s="7" t="n"/>
      <c r="N102" s="7" t="n"/>
      <c r="O102" s="7" t="n"/>
      <c r="P102" s="7" t="n"/>
      <c r="Q102" s="7" t="n"/>
      <c r="R102" s="7" t="n"/>
      <c r="S102" s="7" t="n">
        <v>58038.102</v>
      </c>
      <c r="T102" s="7" t="n">
        <v>47045.688</v>
      </c>
      <c r="U102" s="7" t="n">
        <v>262275.634</v>
      </c>
      <c r="V102" s="7" t="n">
        <v>192243.249</v>
      </c>
      <c r="W102" s="7" t="n">
        <v>282903.112</v>
      </c>
      <c r="X102" s="7" t="n">
        <v>248320.641</v>
      </c>
      <c r="Y102" s="7" t="n">
        <v>95787.423</v>
      </c>
      <c r="Z102" s="7" t="n">
        <v>80562.19100000001</v>
      </c>
      <c r="AA102" s="7" t="n">
        <v>54431.266</v>
      </c>
      <c r="AB102" s="7" t="n">
        <v>70366.357</v>
      </c>
      <c r="AC102" s="7" t="n">
        <v>35981.773</v>
      </c>
      <c r="AD102" s="7" t="n">
        <v>34045.67</v>
      </c>
      <c r="AE102" s="8">
        <f>SUM(C102,E102,G102,I102,K102,M102,O102,Q102,S102,U102,W102,Y102,AA102,AC102)</f>
        <v/>
      </c>
      <c r="AF102" s="8">
        <f>SUM(D102,F102,H102,J102,L102,N102,P102,R102,T102,V102,X102,Z102,AB102,AD102)</f>
        <v/>
      </c>
      <c r="AG102" s="8">
        <f>AE102+AF102</f>
        <v/>
      </c>
    </row>
    <row r="103">
      <c r="A103" s="10" t="n">
        <v>98</v>
      </c>
      <c r="B103" s="28" t="inlineStr">
        <is>
          <t>Burdur</t>
        </is>
      </c>
      <c r="C103" s="12" t="n">
        <v>46527.6</v>
      </c>
      <c r="D103" s="12" t="n">
        <v>291382.61</v>
      </c>
      <c r="E103" s="12" t="n">
        <v>54272.5</v>
      </c>
      <c r="F103" s="12" t="n">
        <v>297734.75</v>
      </c>
      <c r="G103" s="12" t="n">
        <v>31026.61</v>
      </c>
      <c r="H103" s="12" t="n">
        <v>162959.982</v>
      </c>
      <c r="I103" s="12" t="n">
        <v>19472.86</v>
      </c>
      <c r="J103" s="12" t="n">
        <v>83358.936</v>
      </c>
      <c r="K103" s="12" t="n">
        <v>24043.63</v>
      </c>
      <c r="L103" s="12" t="n">
        <v>96402.42999999999</v>
      </c>
      <c r="M103" s="12" t="n">
        <v>25662.94</v>
      </c>
      <c r="N103" s="12" t="n">
        <v>77068.39999999999</v>
      </c>
      <c r="O103" s="12" t="n">
        <v>23334.64</v>
      </c>
      <c r="P103" s="12" t="n">
        <v>69906.08</v>
      </c>
      <c r="Q103" s="12" t="n">
        <v>4104.23</v>
      </c>
      <c r="R103" s="12" t="n">
        <v>9479.65</v>
      </c>
      <c r="S103" s="12" t="n">
        <v>18486.517</v>
      </c>
      <c r="T103" s="12" t="n">
        <v>35304.87</v>
      </c>
      <c r="U103" s="12" t="n">
        <v>4149.05</v>
      </c>
      <c r="V103" s="12" t="n">
        <v>23019.705</v>
      </c>
      <c r="W103" s="12" t="n">
        <v>158.512</v>
      </c>
      <c r="X103" s="12" t="n">
        <v>910.049</v>
      </c>
      <c r="Y103" s="12" t="n">
        <v>101.18</v>
      </c>
      <c r="Z103" s="12" t="n">
        <v>710.9</v>
      </c>
      <c r="AA103" s="12" t="n">
        <v>113.296</v>
      </c>
      <c r="AB103" s="12" t="n">
        <v>663.603</v>
      </c>
      <c r="AC103" s="12" t="n"/>
      <c r="AD103" s="12" t="n">
        <v>275.393</v>
      </c>
      <c r="AE103" s="13">
        <f>SUM(C103,E103,G103,I103,K103,M103,O103,Q103,S103,U103,W103,Y103,AA103,AC103)</f>
        <v/>
      </c>
      <c r="AF103" s="13">
        <f>SUM(D103,F103,H103,J103,L103,N103,P103,R103,T103,V103,X103,Z103,AB103,AD103)</f>
        <v/>
      </c>
      <c r="AG103" s="13">
        <f>AE103+AF103</f>
        <v/>
      </c>
    </row>
    <row r="104">
      <c r="A104" s="5" t="n">
        <v>99</v>
      </c>
      <c r="B104" s="27" t="inlineStr">
        <is>
          <t>Alpullu</t>
        </is>
      </c>
      <c r="C104" s="7" t="n">
        <v>12283.248</v>
      </c>
      <c r="D104" s="7" t="n">
        <v>107411.87</v>
      </c>
      <c r="E104" s="7" t="n">
        <v>7762.02</v>
      </c>
      <c r="F104" s="7" t="n">
        <v>105640.882</v>
      </c>
      <c r="G104" s="7" t="n">
        <v>1168.462</v>
      </c>
      <c r="H104" s="7" t="n">
        <v>94502.024</v>
      </c>
      <c r="I104" s="7" t="n">
        <v>2270.282</v>
      </c>
      <c r="J104" s="7" t="n">
        <v>95397.139</v>
      </c>
      <c r="K104" s="7" t="n">
        <v>1275.271</v>
      </c>
      <c r="L104" s="7" t="n">
        <v>67760.959</v>
      </c>
      <c r="M104" s="7" t="n">
        <v>5738.725</v>
      </c>
      <c r="N104" s="7" t="n">
        <v>87096.014</v>
      </c>
      <c r="O104" s="7" t="n">
        <v>10383.476</v>
      </c>
      <c r="P104" s="7" t="n">
        <v>117693.308</v>
      </c>
      <c r="Q104" s="7" t="n">
        <v>7182.98</v>
      </c>
      <c r="R104" s="7" t="n">
        <v>71371.63</v>
      </c>
      <c r="S104" s="7" t="n">
        <v>2759.1</v>
      </c>
      <c r="T104" s="7" t="n">
        <v>89352.95600000001</v>
      </c>
      <c r="U104" s="7" t="n">
        <v>6048.19</v>
      </c>
      <c r="V104" s="7" t="n">
        <v>58287.648</v>
      </c>
      <c r="W104" s="7" t="n">
        <v>24847.223</v>
      </c>
      <c r="X104" s="7" t="n">
        <v>66321.459</v>
      </c>
      <c r="Y104" s="7" t="n">
        <v>35754.954</v>
      </c>
      <c r="Z104" s="7" t="n">
        <v>56142.394</v>
      </c>
      <c r="AA104" s="7" t="n">
        <v>50734.865</v>
      </c>
      <c r="AB104" s="7" t="n">
        <v>71286.91</v>
      </c>
      <c r="AC104" s="7" t="n">
        <v>30971.448</v>
      </c>
      <c r="AD104" s="7" t="n">
        <v>62531.549</v>
      </c>
      <c r="AE104" s="8">
        <f>SUM(C104,E104,G104,I104,K104,M104,O104,Q104,S104,U104,W104,Y104,AA104,AC104)</f>
        <v/>
      </c>
      <c r="AF104" s="8">
        <f>SUM(D104,F104,H104,J104,L104,N104,P104,R104,T104,V104,X104,Z104,AB104,AD104)</f>
        <v/>
      </c>
      <c r="AG104" s="8">
        <f>AE104+AF104</f>
        <v/>
      </c>
    </row>
    <row r="105">
      <c r="A105" s="10" t="n">
        <v>100</v>
      </c>
      <c r="B105" s="28" t="inlineStr">
        <is>
          <t>Yakapınar</t>
        </is>
      </c>
      <c r="C105" s="12" t="n">
        <v>37981.52</v>
      </c>
      <c r="D105" s="12" t="n">
        <v>22391.058</v>
      </c>
      <c r="E105" s="12" t="n">
        <v>42265.07</v>
      </c>
      <c r="F105" s="12" t="n">
        <v>16167.285</v>
      </c>
      <c r="G105" s="12" t="n">
        <v>39650.57</v>
      </c>
      <c r="H105" s="12" t="n">
        <v>16528.945</v>
      </c>
      <c r="I105" s="12" t="n">
        <v>71025.28</v>
      </c>
      <c r="J105" s="12" t="n">
        <v>39231.212</v>
      </c>
      <c r="K105" s="12" t="n">
        <v>107009.535</v>
      </c>
      <c r="L105" s="12" t="n">
        <v>53449.132</v>
      </c>
      <c r="M105" s="12" t="n">
        <v>99746.14999999999</v>
      </c>
      <c r="N105" s="12" t="n">
        <v>49632.722</v>
      </c>
      <c r="O105" s="12" t="n">
        <v>97965.537</v>
      </c>
      <c r="P105" s="12" t="n">
        <v>49188.653</v>
      </c>
      <c r="Q105" s="12" t="n">
        <v>106119.364</v>
      </c>
      <c r="R105" s="12" t="n">
        <v>63333.338</v>
      </c>
      <c r="S105" s="12" t="n">
        <v>66282.71400000001</v>
      </c>
      <c r="T105" s="12" t="n">
        <v>39382.658</v>
      </c>
      <c r="U105" s="12" t="n">
        <v>52189.062</v>
      </c>
      <c r="V105" s="12" t="n">
        <v>45998.174</v>
      </c>
      <c r="W105" s="12" t="n">
        <v>82488.879</v>
      </c>
      <c r="X105" s="12" t="n">
        <v>46301.606</v>
      </c>
      <c r="Y105" s="12" t="n">
        <v>31535.71</v>
      </c>
      <c r="Z105" s="12" t="n">
        <v>27458.128</v>
      </c>
      <c r="AA105" s="12" t="n">
        <v>20430.798</v>
      </c>
      <c r="AB105" s="12" t="n">
        <v>13877.956</v>
      </c>
      <c r="AC105" s="12" t="n">
        <v>2598</v>
      </c>
      <c r="AD105" s="12" t="n"/>
      <c r="AE105" s="13">
        <f>SUM(C105,E105,G105,I105,K105,M105,O105,Q105,S105,U105,W105,Y105,AA105,AC105)</f>
        <v/>
      </c>
      <c r="AF105" s="13">
        <f>SUM(D105,F105,H105,J105,L105,N105,P105,R105,T105,V105,X105,Z105,AB105,AD105)</f>
        <v/>
      </c>
      <c r="AG105" s="13">
        <f>AE105+AF105</f>
        <v/>
      </c>
    </row>
    <row r="106">
      <c r="A106" s="5" t="n">
        <v>101</v>
      </c>
      <c r="B106" s="27" t="inlineStr">
        <is>
          <t>Seyitömer</t>
        </is>
      </c>
      <c r="C106" s="7" t="n">
        <v>452.42</v>
      </c>
      <c r="D106" s="7" t="n">
        <v>438.4</v>
      </c>
      <c r="E106" s="7" t="n"/>
      <c r="F106" s="7" t="n"/>
      <c r="G106" s="7" t="n">
        <v>5006.44</v>
      </c>
      <c r="H106" s="7" t="n"/>
      <c r="I106" s="7" t="n">
        <v>231712.86</v>
      </c>
      <c r="J106" s="7" t="n">
        <v>4433.76</v>
      </c>
      <c r="K106" s="7" t="n">
        <v>165126</v>
      </c>
      <c r="L106" s="7" t="n">
        <v>670.9</v>
      </c>
      <c r="M106" s="7" t="n">
        <v>265504</v>
      </c>
      <c r="N106" s="7" t="n">
        <v>2616</v>
      </c>
      <c r="O106" s="7" t="n">
        <v>74875</v>
      </c>
      <c r="P106" s="7" t="n">
        <v>236.904</v>
      </c>
      <c r="Q106" s="7" t="n">
        <v>99530</v>
      </c>
      <c r="R106" s="7" t="n">
        <v>3101</v>
      </c>
      <c r="S106" s="7" t="n">
        <v>98960</v>
      </c>
      <c r="T106" s="7" t="n">
        <v>10474.8</v>
      </c>
      <c r="U106" s="7" t="n">
        <v>134227.28</v>
      </c>
      <c r="V106" s="7" t="n">
        <v>35186.705</v>
      </c>
      <c r="W106" s="7" t="n">
        <v>113565.4</v>
      </c>
      <c r="X106" s="7" t="n">
        <v>8161.4</v>
      </c>
      <c r="Y106" s="7" t="n">
        <v>81575</v>
      </c>
      <c r="Z106" s="7" t="n">
        <v>169.875</v>
      </c>
      <c r="AA106" s="7" t="n"/>
      <c r="AB106" s="7" t="n"/>
      <c r="AC106" s="7" t="n"/>
      <c r="AD106" s="7" t="n"/>
      <c r="AE106" s="8">
        <f>SUM(C106,E106,G106,I106,K106,M106,O106,Q106,S106,U106,W106,Y106,AA106,AC106)</f>
        <v/>
      </c>
      <c r="AF106" s="8">
        <f>SUM(D106,F106,H106,J106,L106,N106,P106,R106,T106,V106,X106,Z106,AB106,AD106)</f>
        <v/>
      </c>
      <c r="AG106" s="8">
        <f>AE106+AF106</f>
        <v/>
      </c>
    </row>
    <row r="107">
      <c r="A107" s="10" t="n">
        <v>102</v>
      </c>
      <c r="B107" s="28" t="inlineStr">
        <is>
          <t>Çatalca</t>
        </is>
      </c>
      <c r="C107" s="12" t="n">
        <v>550.063</v>
      </c>
      <c r="D107" s="12" t="n">
        <v>8455</v>
      </c>
      <c r="E107" s="12" t="n">
        <v>295.8</v>
      </c>
      <c r="F107" s="12" t="n">
        <v>39.775</v>
      </c>
      <c r="G107" s="12" t="n"/>
      <c r="H107" s="12" t="n">
        <v>22.4</v>
      </c>
      <c r="I107" s="12" t="n">
        <v>2658.054</v>
      </c>
      <c r="J107" s="12" t="n">
        <v>899.905</v>
      </c>
      <c r="K107" s="12" t="n">
        <v>1845.845</v>
      </c>
      <c r="L107" s="12" t="n">
        <v>1166.783</v>
      </c>
      <c r="M107" s="12" t="n">
        <v>1813.023</v>
      </c>
      <c r="N107" s="12" t="n">
        <v>803.593</v>
      </c>
      <c r="O107" s="12" t="n">
        <v>1563.611</v>
      </c>
      <c r="P107" s="12" t="n">
        <v>885.08</v>
      </c>
      <c r="Q107" s="12" t="n">
        <v>66195.12300000001</v>
      </c>
      <c r="R107" s="12" t="n">
        <v>88828.52099999999</v>
      </c>
      <c r="S107" s="12" t="n">
        <v>123552.789</v>
      </c>
      <c r="T107" s="12" t="n">
        <v>132366.994</v>
      </c>
      <c r="U107" s="12" t="n">
        <v>111488.292</v>
      </c>
      <c r="V107" s="12" t="n">
        <v>125910.015</v>
      </c>
      <c r="W107" s="12" t="n">
        <v>117941.361</v>
      </c>
      <c r="X107" s="12" t="n">
        <v>119509.296</v>
      </c>
      <c r="Y107" s="12" t="n">
        <v>119787.161</v>
      </c>
      <c r="Z107" s="12" t="n">
        <v>126149.509</v>
      </c>
      <c r="AA107" s="12" t="n">
        <v>65802.97900000001</v>
      </c>
      <c r="AB107" s="12" t="n">
        <v>62435.651</v>
      </c>
      <c r="AC107" s="12" t="n">
        <v>28908.159</v>
      </c>
      <c r="AD107" s="12" t="n">
        <v>24616.66</v>
      </c>
      <c r="AE107" s="13">
        <f>SUM(C107,E107,G107,I107,K107,M107,O107,Q107,S107,U107,W107,Y107,AA107,AC107)</f>
        <v/>
      </c>
      <c r="AF107" s="13">
        <f>SUM(D107,F107,H107,J107,L107,N107,P107,R107,T107,V107,X107,Z107,AB107,AD107)</f>
        <v/>
      </c>
      <c r="AG107" s="13">
        <f>AE107+AF107</f>
        <v/>
      </c>
    </row>
    <row r="108">
      <c r="A108" s="5" t="n">
        <v>103</v>
      </c>
      <c r="B108" s="27" t="inlineStr">
        <is>
          <t>Kurtalan</t>
        </is>
      </c>
      <c r="C108" s="7" t="n">
        <v>15278.4</v>
      </c>
      <c r="D108" s="7" t="n">
        <v>115866.565</v>
      </c>
      <c r="E108" s="7" t="n">
        <v>18779.4</v>
      </c>
      <c r="F108" s="7" t="n">
        <v>100379.7</v>
      </c>
      <c r="G108" s="7" t="n">
        <v>11796.2</v>
      </c>
      <c r="H108" s="7" t="n">
        <v>62746.634</v>
      </c>
      <c r="I108" s="7" t="n">
        <v>587.1</v>
      </c>
      <c r="J108" s="7" t="n">
        <v>10770.235</v>
      </c>
      <c r="K108" s="7" t="n">
        <v>1071.46</v>
      </c>
      <c r="L108" s="7" t="n">
        <v>37623.113</v>
      </c>
      <c r="M108" s="7" t="n">
        <v>6452.23</v>
      </c>
      <c r="N108" s="7" t="n">
        <v>21239.335</v>
      </c>
      <c r="O108" s="7" t="n">
        <v>126067.385</v>
      </c>
      <c r="P108" s="7" t="n">
        <v>87348.10000000001</v>
      </c>
      <c r="Q108" s="7" t="n">
        <v>81686</v>
      </c>
      <c r="R108" s="7" t="n">
        <v>22038.189</v>
      </c>
      <c r="S108" s="7" t="n">
        <v>96814.633</v>
      </c>
      <c r="T108" s="7" t="n">
        <v>26642.681</v>
      </c>
      <c r="U108" s="7" t="n">
        <v>71598.39999999999</v>
      </c>
      <c r="V108" s="7" t="n">
        <v>23258.25</v>
      </c>
      <c r="W108" s="7" t="n">
        <v>73335.89999999999</v>
      </c>
      <c r="X108" s="7" t="n">
        <v>30063.035</v>
      </c>
      <c r="Y108" s="7" t="n">
        <v>79085.85000000001</v>
      </c>
      <c r="Z108" s="7" t="n">
        <v>29363.4</v>
      </c>
      <c r="AA108" s="7" t="n">
        <v>86858.39999999999</v>
      </c>
      <c r="AB108" s="7" t="n">
        <v>32542.12</v>
      </c>
      <c r="AC108" s="7" t="n">
        <v>38338.29</v>
      </c>
      <c r="AD108" s="7" t="n">
        <v>11803.338</v>
      </c>
      <c r="AE108" s="8">
        <f>SUM(C108,E108,G108,I108,K108,M108,O108,Q108,S108,U108,W108,Y108,AA108,AC108)</f>
        <v/>
      </c>
      <c r="AF108" s="8">
        <f>SUM(D108,F108,H108,J108,L108,N108,P108,R108,T108,V108,X108,Z108,AB108,AD108)</f>
        <v/>
      </c>
      <c r="AG108" s="8">
        <f>AE108+AF108</f>
        <v/>
      </c>
    </row>
    <row r="109">
      <c r="A109" s="10" t="n">
        <v>104</v>
      </c>
      <c r="B109" s="28" t="inlineStr">
        <is>
          <t>Yazlak</t>
        </is>
      </c>
      <c r="C109" s="12" t="n">
        <v>4712.26</v>
      </c>
      <c r="D109" s="12" t="n">
        <v>17264.075</v>
      </c>
      <c r="E109" s="12" t="n">
        <v>3793</v>
      </c>
      <c r="F109" s="12" t="n">
        <v>7217.7</v>
      </c>
      <c r="G109" s="12" t="n">
        <v>2684.3</v>
      </c>
      <c r="H109" s="12" t="n">
        <v>4726.06</v>
      </c>
      <c r="I109" s="12" t="n">
        <v>893.5</v>
      </c>
      <c r="J109" s="12" t="n">
        <v>2739.67</v>
      </c>
      <c r="K109" s="12" t="n">
        <v>1341.53</v>
      </c>
      <c r="L109" s="12" t="n">
        <v>12122.875</v>
      </c>
      <c r="M109" s="12" t="n">
        <v>3654.6</v>
      </c>
      <c r="N109" s="12" t="n">
        <v>8619.200000000001</v>
      </c>
      <c r="O109" s="12" t="n">
        <v>104071.605</v>
      </c>
      <c r="P109" s="12" t="n">
        <v>41738.645</v>
      </c>
      <c r="Q109" s="12" t="n">
        <v>157454.905</v>
      </c>
      <c r="R109" s="12" t="n">
        <v>54738.995</v>
      </c>
      <c r="S109" s="12" t="n">
        <v>264203.43</v>
      </c>
      <c r="T109" s="12" t="n">
        <v>83213.105</v>
      </c>
      <c r="U109" s="12" t="n">
        <v>293046.915</v>
      </c>
      <c r="V109" s="12" t="n">
        <v>64414.994</v>
      </c>
      <c r="W109" s="12" t="n">
        <v>43012.195</v>
      </c>
      <c r="X109" s="12" t="n">
        <v>61331.261</v>
      </c>
      <c r="Y109" s="12" t="n">
        <v>1425.44</v>
      </c>
      <c r="Z109" s="12" t="n">
        <v>9121.234</v>
      </c>
      <c r="AA109" s="12" t="n">
        <v>6146.525</v>
      </c>
      <c r="AB109" s="12" t="n">
        <v>11486.1</v>
      </c>
      <c r="AC109" s="12" t="n">
        <v>7062.43</v>
      </c>
      <c r="AD109" s="12" t="n">
        <v>13454.9</v>
      </c>
      <c r="AE109" s="13">
        <f>SUM(C109,E109,G109,I109,K109,M109,O109,Q109,S109,U109,W109,Y109,AA109,AC109)</f>
        <v/>
      </c>
      <c r="AF109" s="13">
        <f>SUM(D109,F109,H109,J109,L109,N109,P109,R109,T109,V109,X109,Z109,AB109,AD109)</f>
        <v/>
      </c>
      <c r="AG109" s="13">
        <f>AE109+AF109</f>
        <v/>
      </c>
    </row>
    <row r="110">
      <c r="A110" s="5" t="n">
        <v>105</v>
      </c>
      <c r="B110" s="27" t="inlineStr">
        <is>
          <t>Keykubat</t>
        </is>
      </c>
      <c r="C110" s="7" t="n">
        <v>39898.784</v>
      </c>
      <c r="D110" s="7" t="n">
        <v>66255.632</v>
      </c>
      <c r="E110" s="7" t="n">
        <v>83287.66</v>
      </c>
      <c r="F110" s="7" t="n">
        <v>103857.119</v>
      </c>
      <c r="G110" s="7" t="n">
        <v>80676.86199999999</v>
      </c>
      <c r="H110" s="7" t="n">
        <v>98007.27099999999</v>
      </c>
      <c r="I110" s="7" t="n">
        <v>74569.012</v>
      </c>
      <c r="J110" s="7" t="n">
        <v>89875.39999999999</v>
      </c>
      <c r="K110" s="7" t="n">
        <v>75596.806</v>
      </c>
      <c r="L110" s="7" t="n">
        <v>92457.302</v>
      </c>
      <c r="M110" s="7" t="n">
        <v>78524.33900000001</v>
      </c>
      <c r="N110" s="7" t="n">
        <v>62144.438</v>
      </c>
      <c r="O110" s="7" t="n">
        <v>90915.39999999999</v>
      </c>
      <c r="P110" s="7" t="n">
        <v>86144.948</v>
      </c>
      <c r="Q110" s="7" t="n">
        <v>36863.68</v>
      </c>
      <c r="R110" s="7" t="n">
        <v>60007.275</v>
      </c>
      <c r="S110" s="7" t="n">
        <v>836</v>
      </c>
      <c r="T110" s="7" t="n">
        <v>40715.865</v>
      </c>
      <c r="U110" s="7" t="n">
        <v>88</v>
      </c>
      <c r="V110" s="7" t="n">
        <v>1045.41</v>
      </c>
      <c r="W110" s="7" t="n"/>
      <c r="X110" s="7" t="n"/>
      <c r="Y110" s="7" t="n"/>
      <c r="Z110" s="7" t="n">
        <v>20</v>
      </c>
      <c r="AA110" s="7" t="n"/>
      <c r="AB110" s="7" t="n"/>
      <c r="AC110" s="7" t="n"/>
      <c r="AD110" s="7" t="n"/>
      <c r="AE110" s="8">
        <f>SUM(C110,E110,G110,I110,K110,M110,O110,Q110,S110,U110,W110,Y110,AA110,AC110)</f>
        <v/>
      </c>
      <c r="AF110" s="8">
        <f>SUM(D110,F110,H110,J110,L110,N110,P110,R110,T110,V110,X110,Z110,AB110,AD110)</f>
        <v/>
      </c>
      <c r="AG110" s="8">
        <f>AE110+AF110</f>
        <v/>
      </c>
    </row>
    <row r="111">
      <c r="A111" s="10" t="n">
        <v>106</v>
      </c>
      <c r="B111" s="28" t="inlineStr">
        <is>
          <t>Abalar</t>
        </is>
      </c>
      <c r="C111" s="12" t="n"/>
      <c r="D111" s="12" t="n"/>
      <c r="E111" s="12" t="n"/>
      <c r="F111" s="12" t="n"/>
      <c r="G111" s="12" t="n"/>
      <c r="H111" s="12" t="n"/>
      <c r="I111" s="12" t="n"/>
      <c r="J111" s="12" t="n"/>
      <c r="K111" s="12" t="n"/>
      <c r="L111" s="12" t="n"/>
      <c r="M111" s="12" t="n"/>
      <c r="N111" s="12" t="n"/>
      <c r="O111" s="12" t="n"/>
      <c r="P111" s="12" t="n"/>
      <c r="Q111" s="12" t="n"/>
      <c r="R111" s="12" t="n"/>
      <c r="S111" s="12" t="n">
        <v>3646.95</v>
      </c>
      <c r="T111" s="12" t="n">
        <v>383.205</v>
      </c>
      <c r="U111" s="12" t="n">
        <v>124010.656</v>
      </c>
      <c r="V111" s="12" t="n">
        <v>17545.42</v>
      </c>
      <c r="W111" s="12" t="n">
        <v>176631.21</v>
      </c>
      <c r="X111" s="12" t="n">
        <v>25508.205</v>
      </c>
      <c r="Y111" s="12" t="n">
        <v>235744.95</v>
      </c>
      <c r="Z111" s="12" t="n">
        <v>42550.123</v>
      </c>
      <c r="AA111" s="12" t="n">
        <v>341333.78</v>
      </c>
      <c r="AB111" s="12" t="n">
        <v>66067.155</v>
      </c>
      <c r="AC111" s="12" t="n">
        <v>182472.2</v>
      </c>
      <c r="AD111" s="12" t="n">
        <v>38588.805</v>
      </c>
      <c r="AE111" s="13">
        <f>SUM(C111,E111,G111,I111,K111,M111,O111,Q111,S111,U111,W111,Y111,AA111,AC111)</f>
        <v/>
      </c>
      <c r="AF111" s="13">
        <f>SUM(D111,F111,H111,J111,L111,N111,P111,R111,T111,V111,X111,Z111,AB111,AD111)</f>
        <v/>
      </c>
      <c r="AG111" s="13">
        <f>AE111+AF111</f>
        <v/>
      </c>
    </row>
    <row r="112">
      <c r="A112" s="5" t="n">
        <v>107</v>
      </c>
      <c r="B112" s="27" t="inlineStr">
        <is>
          <t>Malatya</t>
        </is>
      </c>
      <c r="C112" s="7" t="n">
        <v>18525.697</v>
      </c>
      <c r="D112" s="7" t="n">
        <v>104992.567</v>
      </c>
      <c r="E112" s="7" t="n">
        <v>13021.759</v>
      </c>
      <c r="F112" s="7" t="n">
        <v>69711.28200000001</v>
      </c>
      <c r="G112" s="7" t="n">
        <v>8288.355</v>
      </c>
      <c r="H112" s="7" t="n">
        <v>42051.645</v>
      </c>
      <c r="I112" s="7" t="n">
        <v>9838.348</v>
      </c>
      <c r="J112" s="7" t="n">
        <v>55187.592</v>
      </c>
      <c r="K112" s="7" t="n">
        <v>17988.839</v>
      </c>
      <c r="L112" s="7" t="n">
        <v>54374.138</v>
      </c>
      <c r="M112" s="7" t="n">
        <v>34020.343</v>
      </c>
      <c r="N112" s="7" t="n">
        <v>52367.595</v>
      </c>
      <c r="O112" s="7" t="n">
        <v>38713.238</v>
      </c>
      <c r="P112" s="7" t="n">
        <v>68737.13400000001</v>
      </c>
      <c r="Q112" s="7" t="n">
        <v>45061.702</v>
      </c>
      <c r="R112" s="7" t="n">
        <v>76724.234</v>
      </c>
      <c r="S112" s="7" t="n">
        <v>27235.628</v>
      </c>
      <c r="T112" s="7" t="n">
        <v>58320.537</v>
      </c>
      <c r="U112" s="7" t="n">
        <v>23380.228</v>
      </c>
      <c r="V112" s="7" t="n">
        <v>66745.11199999999</v>
      </c>
      <c r="W112" s="7" t="n">
        <v>20493.765</v>
      </c>
      <c r="X112" s="7" t="n">
        <v>68587.61</v>
      </c>
      <c r="Y112" s="7" t="n">
        <v>17990.619</v>
      </c>
      <c r="Z112" s="7" t="n">
        <v>73520.692</v>
      </c>
      <c r="AA112" s="7" t="n">
        <v>27098.835</v>
      </c>
      <c r="AB112" s="7" t="n">
        <v>60446.785</v>
      </c>
      <c r="AC112" s="7" t="n">
        <v>26146.861</v>
      </c>
      <c r="AD112" s="7" t="n">
        <v>35575.657</v>
      </c>
      <c r="AE112" s="8">
        <f>SUM(C112,E112,G112,I112,K112,M112,O112,Q112,S112,U112,W112,Y112,AA112,AC112)</f>
        <v/>
      </c>
      <c r="AF112" s="8">
        <f>SUM(D112,F112,H112,J112,L112,N112,P112,R112,T112,V112,X112,Z112,AB112,AD112)</f>
        <v/>
      </c>
      <c r="AG112" s="8">
        <f>AE112+AF112</f>
        <v/>
      </c>
    </row>
    <row r="113">
      <c r="A113" s="10" t="n">
        <v>108</v>
      </c>
      <c r="B113" s="28" t="inlineStr">
        <is>
          <t>Azot</t>
        </is>
      </c>
      <c r="C113" s="12" t="n">
        <v>53226.087</v>
      </c>
      <c r="D113" s="12" t="n">
        <v>21036.13</v>
      </c>
      <c r="E113" s="12" t="n">
        <v>251197.445</v>
      </c>
      <c r="F113" s="12" t="n">
        <v>20982.74</v>
      </c>
      <c r="G113" s="12" t="n">
        <v>34730.508</v>
      </c>
      <c r="H113" s="12" t="n">
        <v>15290.381</v>
      </c>
      <c r="I113" s="12" t="n">
        <v>31277.496</v>
      </c>
      <c r="J113" s="12" t="n">
        <v>14914.785</v>
      </c>
      <c r="K113" s="12" t="n">
        <v>18001.87</v>
      </c>
      <c r="L113" s="12" t="n">
        <v>16539.948</v>
      </c>
      <c r="M113" s="12" t="n">
        <v>30591.075</v>
      </c>
      <c r="N113" s="12" t="n">
        <v>63734.645</v>
      </c>
      <c r="O113" s="12" t="n">
        <v>236176.905</v>
      </c>
      <c r="P113" s="12" t="n">
        <v>56852.19</v>
      </c>
      <c r="Q113" s="12" t="n">
        <v>114443.575</v>
      </c>
      <c r="R113" s="12" t="n">
        <v>8647.34</v>
      </c>
      <c r="S113" s="12" t="n">
        <v>19670.822</v>
      </c>
      <c r="T113" s="12" t="n">
        <v>23108.05</v>
      </c>
      <c r="U113" s="12" t="n">
        <v>65260.616</v>
      </c>
      <c r="V113" s="12" t="n">
        <v>52478.87</v>
      </c>
      <c r="W113" s="12" t="n">
        <v>25268.661</v>
      </c>
      <c r="X113" s="12" t="n">
        <v>3348.925</v>
      </c>
      <c r="Y113" s="12" t="n">
        <v>9821.6</v>
      </c>
      <c r="Z113" s="12" t="n">
        <v>5049.626</v>
      </c>
      <c r="AA113" s="12" t="n">
        <v>2336.464</v>
      </c>
      <c r="AB113" s="12" t="n">
        <v>6267.137</v>
      </c>
      <c r="AC113" s="12" t="n">
        <v>1882.797</v>
      </c>
      <c r="AD113" s="12" t="n">
        <v>12724.13</v>
      </c>
      <c r="AE113" s="13">
        <f>SUM(C113,E113,G113,I113,K113,M113,O113,Q113,S113,U113,W113,Y113,AA113,AC113)</f>
        <v/>
      </c>
      <c r="AF113" s="13">
        <f>SUM(D113,F113,H113,J113,L113,N113,P113,R113,T113,V113,X113,Z113,AB113,AD113)</f>
        <v/>
      </c>
      <c r="AG113" s="13">
        <f>AE113+AF113</f>
        <v/>
      </c>
    </row>
    <row r="114">
      <c r="A114" s="5" t="n">
        <v>109</v>
      </c>
      <c r="B114" s="27" t="inlineStr">
        <is>
          <t>Bereket</t>
        </is>
      </c>
      <c r="C114" s="7" t="n"/>
      <c r="D114" s="7" t="n"/>
      <c r="E114" s="7" t="n"/>
      <c r="F114" s="7" t="n"/>
      <c r="G114" s="7" t="n"/>
      <c r="H114" s="7" t="n"/>
      <c r="I114" s="7" t="n"/>
      <c r="J114" s="7" t="n"/>
      <c r="K114" s="7" t="n"/>
      <c r="L114" s="7" t="n"/>
      <c r="M114" s="7" t="n"/>
      <c r="N114" s="7" t="n"/>
      <c r="O114" s="7" t="n"/>
      <c r="P114" s="7" t="n"/>
      <c r="Q114" s="7" t="n"/>
      <c r="R114" s="7" t="n"/>
      <c r="S114" s="7" t="n"/>
      <c r="T114" s="7" t="n"/>
      <c r="U114" s="7" t="n">
        <v>80528.17</v>
      </c>
      <c r="V114" s="7" t="n">
        <v>20654.2</v>
      </c>
      <c r="W114" s="7" t="n">
        <v>340959.06</v>
      </c>
      <c r="X114" s="7" t="n"/>
      <c r="Y114" s="7" t="n">
        <v>263665.5</v>
      </c>
      <c r="Z114" s="7" t="n"/>
      <c r="AA114" s="7" t="n">
        <v>340406.38</v>
      </c>
      <c r="AB114" s="7" t="n"/>
      <c r="AC114" s="7" t="n">
        <v>148545</v>
      </c>
      <c r="AD114" s="7" t="n"/>
      <c r="AE114" s="8">
        <f>SUM(C114,E114,G114,I114,K114,M114,O114,Q114,S114,U114,W114,Y114,AA114,AC114)</f>
        <v/>
      </c>
      <c r="AF114" s="8">
        <f>SUM(D114,F114,H114,J114,L114,N114,P114,R114,T114,V114,X114,Z114,AB114,AD114)</f>
        <v/>
      </c>
      <c r="AG114" s="8">
        <f>AE114+AF114</f>
        <v/>
      </c>
    </row>
    <row r="115">
      <c r="A115" s="10" t="n">
        <v>110</v>
      </c>
      <c r="B115" s="28" t="inlineStr">
        <is>
          <t>Kars</t>
        </is>
      </c>
      <c r="C115" s="12" t="n">
        <v>85757.74000000001</v>
      </c>
      <c r="D115" s="12" t="n">
        <v>164878.454</v>
      </c>
      <c r="E115" s="12" t="n">
        <v>48358.735</v>
      </c>
      <c r="F115" s="12" t="n">
        <v>65490.805</v>
      </c>
      <c r="G115" s="12" t="n">
        <v>16737.535</v>
      </c>
      <c r="H115" s="12" t="n">
        <v>69196.776</v>
      </c>
      <c r="I115" s="12" t="n">
        <v>85280.785</v>
      </c>
      <c r="J115" s="12" t="n">
        <v>148404.403</v>
      </c>
      <c r="K115" s="12" t="n">
        <v>11185.15</v>
      </c>
      <c r="L115" s="12" t="n">
        <v>46582.413</v>
      </c>
      <c r="M115" s="12" t="n">
        <v>9149.906000000001</v>
      </c>
      <c r="N115" s="12" t="n">
        <v>46490.284</v>
      </c>
      <c r="O115" s="12" t="n">
        <v>5926.34</v>
      </c>
      <c r="P115" s="12" t="n">
        <v>42733.127</v>
      </c>
      <c r="Q115" s="12" t="n">
        <v>4739.462</v>
      </c>
      <c r="R115" s="12" t="n">
        <v>51426.821</v>
      </c>
      <c r="S115" s="12" t="n">
        <v>2886.597</v>
      </c>
      <c r="T115" s="12" t="n">
        <v>37593.265</v>
      </c>
      <c r="U115" s="12" t="n">
        <v>2833.896</v>
      </c>
      <c r="V115" s="12" t="n">
        <v>43290.788</v>
      </c>
      <c r="W115" s="12" t="n">
        <v>5078.312</v>
      </c>
      <c r="X115" s="12" t="n">
        <v>52101.34</v>
      </c>
      <c r="Y115" s="12" t="n">
        <v>3470.327</v>
      </c>
      <c r="Z115" s="12" t="n">
        <v>37390.157</v>
      </c>
      <c r="AA115" s="12" t="n">
        <v>7415.522</v>
      </c>
      <c r="AB115" s="12" t="n">
        <v>51459.052</v>
      </c>
      <c r="AC115" s="12" t="n">
        <v>1585.648</v>
      </c>
      <c r="AD115" s="12" t="n">
        <v>44567.745</v>
      </c>
      <c r="AE115" s="13">
        <f>SUM(C115,E115,G115,I115,K115,M115,O115,Q115,S115,U115,W115,Y115,AA115,AC115)</f>
        <v/>
      </c>
      <c r="AF115" s="13">
        <f>SUM(D115,F115,H115,J115,L115,N115,P115,R115,T115,V115,X115,Z115,AB115,AD115)</f>
        <v/>
      </c>
      <c r="AG115" s="13">
        <f>AE115+AF115</f>
        <v/>
      </c>
    </row>
    <row r="116">
      <c r="A116" s="5" t="n">
        <v>111</v>
      </c>
      <c r="B116" s="27" t="inlineStr">
        <is>
          <t>Kaklık</t>
        </is>
      </c>
      <c r="C116" s="7" t="n">
        <v>58050.266</v>
      </c>
      <c r="D116" s="7" t="n">
        <v>98743.893</v>
      </c>
      <c r="E116" s="7" t="n">
        <v>7663.4</v>
      </c>
      <c r="F116" s="7" t="n">
        <v>15866.6</v>
      </c>
      <c r="G116" s="7" t="n">
        <v>121961.9</v>
      </c>
      <c r="H116" s="7" t="n">
        <v>107620.3</v>
      </c>
      <c r="I116" s="7" t="n">
        <v>126465.61</v>
      </c>
      <c r="J116" s="7" t="n">
        <v>92714.65399999999</v>
      </c>
      <c r="K116" s="7" t="n">
        <v>44675.69</v>
      </c>
      <c r="L116" s="7" t="n">
        <v>132024.795</v>
      </c>
      <c r="M116" s="7" t="n">
        <v>14760.77</v>
      </c>
      <c r="N116" s="7" t="n">
        <v>51907.89</v>
      </c>
      <c r="O116" s="7" t="n">
        <v>13698.876</v>
      </c>
      <c r="P116" s="7" t="n">
        <v>65387.252</v>
      </c>
      <c r="Q116" s="7" t="n">
        <v>15605.704</v>
      </c>
      <c r="R116" s="7" t="n">
        <v>81198.651</v>
      </c>
      <c r="S116" s="7" t="n">
        <v>12023.09</v>
      </c>
      <c r="T116" s="7" t="n">
        <v>48045.065</v>
      </c>
      <c r="U116" s="7" t="n">
        <v>24138.908</v>
      </c>
      <c r="V116" s="7" t="n">
        <v>25262.754</v>
      </c>
      <c r="W116" s="7" t="n">
        <v>8948.442999999999</v>
      </c>
      <c r="X116" s="7" t="n">
        <v>7844.569</v>
      </c>
      <c r="Y116" s="7" t="n">
        <v>4812.795</v>
      </c>
      <c r="Z116" s="7" t="n">
        <v>2985.74</v>
      </c>
      <c r="AA116" s="7" t="n">
        <v>3356.86</v>
      </c>
      <c r="AB116" s="7" t="n">
        <v>1750.768</v>
      </c>
      <c r="AC116" s="7" t="n">
        <v>2365.955</v>
      </c>
      <c r="AD116" s="7" t="n">
        <v>925.325</v>
      </c>
      <c r="AE116" s="8">
        <f>SUM(C116,E116,G116,I116,K116,M116,O116,Q116,S116,U116,W116,Y116,AA116,AC116)</f>
        <v/>
      </c>
      <c r="AF116" s="8">
        <f>SUM(D116,F116,H116,J116,L116,N116,P116,R116,T116,V116,X116,Z116,AB116,AD116)</f>
        <v/>
      </c>
      <c r="AG116" s="8">
        <f>AE116+AF116</f>
        <v/>
      </c>
    </row>
    <row r="117">
      <c r="A117" s="10" t="n">
        <v>112</v>
      </c>
      <c r="B117" s="28" t="inlineStr">
        <is>
          <t>Derince Liman</t>
        </is>
      </c>
      <c r="C117" s="12" t="n">
        <v>762</v>
      </c>
      <c r="D117" s="12" t="n">
        <v>2169.073</v>
      </c>
      <c r="E117" s="12" t="n">
        <v>12034.454</v>
      </c>
      <c r="F117" s="12" t="n">
        <v>7328.144</v>
      </c>
      <c r="G117" s="12" t="n">
        <v>14836.753</v>
      </c>
      <c r="H117" s="12" t="n">
        <v>20391.548</v>
      </c>
      <c r="I117" s="12" t="n">
        <v>189606.804</v>
      </c>
      <c r="J117" s="12" t="n">
        <v>39192.1</v>
      </c>
      <c r="K117" s="12" t="n">
        <v>136270.127</v>
      </c>
      <c r="L117" s="12" t="n">
        <v>36274.266</v>
      </c>
      <c r="M117" s="12" t="n">
        <v>52944.243</v>
      </c>
      <c r="N117" s="12" t="n">
        <v>21722.802</v>
      </c>
      <c r="O117" s="12" t="n">
        <v>4432.673</v>
      </c>
      <c r="P117" s="12" t="n">
        <v>17511.268</v>
      </c>
      <c r="Q117" s="12" t="n">
        <v>43324.808</v>
      </c>
      <c r="R117" s="12" t="n">
        <v>112633.303</v>
      </c>
      <c r="S117" s="12" t="n">
        <v>36436.626</v>
      </c>
      <c r="T117" s="12" t="n">
        <v>67200.323</v>
      </c>
      <c r="U117" s="12" t="n">
        <v>48801.468</v>
      </c>
      <c r="V117" s="12" t="n">
        <v>141377.6</v>
      </c>
      <c r="W117" s="12" t="n">
        <v>43541.845</v>
      </c>
      <c r="X117" s="12" t="n">
        <v>31071.004</v>
      </c>
      <c r="Y117" s="12" t="n">
        <v>24037.354</v>
      </c>
      <c r="Z117" s="12" t="n">
        <v>21511.163</v>
      </c>
      <c r="AA117" s="12" t="n">
        <v>2492.398</v>
      </c>
      <c r="AB117" s="12" t="n">
        <v>18969.18</v>
      </c>
      <c r="AC117" s="12" t="n">
        <v>6153.2</v>
      </c>
      <c r="AD117" s="12" t="n">
        <v>36838.61</v>
      </c>
      <c r="AE117" s="13">
        <f>SUM(C117,E117,G117,I117,K117,M117,O117,Q117,S117,U117,W117,Y117,AA117,AC117)</f>
        <v/>
      </c>
      <c r="AF117" s="13">
        <f>SUM(D117,F117,H117,J117,L117,N117,P117,R117,T117,V117,X117,Z117,AB117,AD117)</f>
        <v/>
      </c>
      <c r="AG117" s="13">
        <f>AE117+AF117</f>
        <v/>
      </c>
    </row>
    <row r="118">
      <c r="A118" s="5" t="n">
        <v>113</v>
      </c>
      <c r="B118" s="27" t="inlineStr">
        <is>
          <t>Sivas</t>
        </is>
      </c>
      <c r="C118" s="7" t="n">
        <v>25651.905</v>
      </c>
      <c r="D118" s="7" t="n">
        <v>67365.639</v>
      </c>
      <c r="E118" s="7" t="n">
        <v>30322.89</v>
      </c>
      <c r="F118" s="7" t="n">
        <v>62290.062</v>
      </c>
      <c r="G118" s="7" t="n">
        <v>30449.223</v>
      </c>
      <c r="H118" s="7" t="n">
        <v>124622.214</v>
      </c>
      <c r="I118" s="7" t="n">
        <v>8735.945</v>
      </c>
      <c r="J118" s="7" t="n">
        <v>146402.333</v>
      </c>
      <c r="K118" s="7" t="n">
        <v>21005.601</v>
      </c>
      <c r="L118" s="7" t="n">
        <v>131524.81</v>
      </c>
      <c r="M118" s="7" t="n">
        <v>27827.915</v>
      </c>
      <c r="N118" s="7" t="n">
        <v>102752.109</v>
      </c>
      <c r="O118" s="7" t="n">
        <v>17952.56</v>
      </c>
      <c r="P118" s="7" t="n">
        <v>75643.02499999999</v>
      </c>
      <c r="Q118" s="7" t="n">
        <v>13929.871</v>
      </c>
      <c r="R118" s="7" t="n">
        <v>14802.899</v>
      </c>
      <c r="S118" s="7" t="n">
        <v>15703.345</v>
      </c>
      <c r="T118" s="7" t="n">
        <v>15527.031</v>
      </c>
      <c r="U118" s="7" t="n">
        <v>23804.23</v>
      </c>
      <c r="V118" s="7" t="n">
        <v>19621.528</v>
      </c>
      <c r="W118" s="7" t="n">
        <v>16745.52</v>
      </c>
      <c r="X118" s="7" t="n">
        <v>14089.151</v>
      </c>
      <c r="Y118" s="7" t="n">
        <v>7986.335</v>
      </c>
      <c r="Z118" s="7" t="n">
        <v>10980.474</v>
      </c>
      <c r="AA118" s="7" t="n">
        <v>13279.365</v>
      </c>
      <c r="AB118" s="7" t="n">
        <v>16757.291</v>
      </c>
      <c r="AC118" s="7" t="n">
        <v>9074.1</v>
      </c>
      <c r="AD118" s="7" t="n">
        <v>111959.972</v>
      </c>
      <c r="AE118" s="8">
        <f>SUM(C118,E118,G118,I118,K118,M118,O118,Q118,S118,U118,W118,Y118,AA118,AC118)</f>
        <v/>
      </c>
      <c r="AF118" s="8">
        <f>SUM(D118,F118,H118,J118,L118,N118,P118,R118,T118,V118,X118,Z118,AB118,AD118)</f>
        <v/>
      </c>
      <c r="AG118" s="8">
        <f>AE118+AF118</f>
        <v/>
      </c>
    </row>
    <row r="119">
      <c r="A119" s="10" t="n">
        <v>114</v>
      </c>
      <c r="B119" s="28" t="inlineStr">
        <is>
          <t>Toprakkale</t>
        </is>
      </c>
      <c r="C119" s="12" t="n">
        <v>42898.2</v>
      </c>
      <c r="D119" s="12" t="n">
        <v>3796.86</v>
      </c>
      <c r="E119" s="12" t="n">
        <v>2401.691</v>
      </c>
      <c r="F119" s="12" t="n">
        <v>2473.282</v>
      </c>
      <c r="G119" s="12" t="n">
        <v>68167.92</v>
      </c>
      <c r="H119" s="12" t="n">
        <v>30868.981</v>
      </c>
      <c r="I119" s="12" t="n">
        <v>179847.79</v>
      </c>
      <c r="J119" s="12" t="n">
        <v>84845.36500000001</v>
      </c>
      <c r="K119" s="12" t="n">
        <v>62938.935</v>
      </c>
      <c r="L119" s="12" t="n">
        <v>35268.746</v>
      </c>
      <c r="M119" s="12" t="n">
        <v>3745.652</v>
      </c>
      <c r="N119" s="12" t="n">
        <v>4848.19</v>
      </c>
      <c r="O119" s="12" t="n">
        <v>6929.475</v>
      </c>
      <c r="P119" s="12" t="n">
        <v>8837.655000000001</v>
      </c>
      <c r="Q119" s="12" t="n">
        <v>4108.73</v>
      </c>
      <c r="R119" s="12" t="n">
        <v>3955.63</v>
      </c>
      <c r="S119" s="12" t="n">
        <v>3737.605</v>
      </c>
      <c r="T119" s="12" t="n">
        <v>3130.461</v>
      </c>
      <c r="U119" s="12" t="n">
        <v>25863.398</v>
      </c>
      <c r="V119" s="12" t="n">
        <v>13120.727</v>
      </c>
      <c r="W119" s="12" t="n">
        <v>17092.105</v>
      </c>
      <c r="X119" s="12" t="n">
        <v>129797.16</v>
      </c>
      <c r="Y119" s="12" t="n">
        <v>1808.17</v>
      </c>
      <c r="Z119" s="12" t="n">
        <v>292406.695</v>
      </c>
      <c r="AA119" s="12" t="n">
        <v>3413.585</v>
      </c>
      <c r="AB119" s="12" t="n">
        <v>86448.666</v>
      </c>
      <c r="AC119" s="12" t="n">
        <v>10232.81</v>
      </c>
      <c r="AD119" s="12" t="n">
        <v>9481.594999999999</v>
      </c>
      <c r="AE119" s="13">
        <f>SUM(C119,E119,G119,I119,K119,M119,O119,Q119,S119,U119,W119,Y119,AA119,AC119)</f>
        <v/>
      </c>
      <c r="AF119" s="13">
        <f>SUM(D119,F119,H119,J119,L119,N119,P119,R119,T119,V119,X119,Z119,AB119,AD119)</f>
        <v/>
      </c>
      <c r="AG119" s="13">
        <f>AE119+AF119</f>
        <v/>
      </c>
    </row>
    <row r="120">
      <c r="A120" s="5" t="n">
        <v>115</v>
      </c>
      <c r="B120" s="27" t="inlineStr">
        <is>
          <t>Muş</t>
        </is>
      </c>
      <c r="C120" s="7" t="n">
        <v>9538.93</v>
      </c>
      <c r="D120" s="7" t="n">
        <v>68167.42999999999</v>
      </c>
      <c r="E120" s="7" t="n">
        <v>133733.315</v>
      </c>
      <c r="F120" s="7" t="n">
        <v>64048.35</v>
      </c>
      <c r="G120" s="7" t="n">
        <v>71375.75</v>
      </c>
      <c r="H120" s="7" t="n">
        <v>53479</v>
      </c>
      <c r="I120" s="7" t="n">
        <v>43248.78</v>
      </c>
      <c r="J120" s="7" t="n">
        <v>43128.771</v>
      </c>
      <c r="K120" s="7" t="n">
        <v>55993.45</v>
      </c>
      <c r="L120" s="7" t="n">
        <v>80104.401</v>
      </c>
      <c r="M120" s="7" t="n">
        <v>32448.275</v>
      </c>
      <c r="N120" s="7" t="n">
        <v>114508.98</v>
      </c>
      <c r="O120" s="7" t="n">
        <v>36748.08</v>
      </c>
      <c r="P120" s="7" t="n">
        <v>55114.16</v>
      </c>
      <c r="Q120" s="7" t="n">
        <v>22997.965</v>
      </c>
      <c r="R120" s="7" t="n">
        <v>45277.351</v>
      </c>
      <c r="S120" s="7" t="n">
        <v>8287.24</v>
      </c>
      <c r="T120" s="7" t="n">
        <v>52504.615</v>
      </c>
      <c r="U120" s="7" t="n">
        <v>1586.8</v>
      </c>
      <c r="V120" s="7" t="n">
        <v>18472.196</v>
      </c>
      <c r="W120" s="7" t="n">
        <v>137.74</v>
      </c>
      <c r="X120" s="7" t="n">
        <v>22003.44</v>
      </c>
      <c r="Y120" s="7" t="n">
        <v>2073.29</v>
      </c>
      <c r="Z120" s="7" t="n">
        <v>17166.298</v>
      </c>
      <c r="AA120" s="7" t="n">
        <v>579.6</v>
      </c>
      <c r="AB120" s="7" t="n">
        <v>16963.75</v>
      </c>
      <c r="AC120" s="7" t="n">
        <v>548.9450000000001</v>
      </c>
      <c r="AD120" s="7" t="n">
        <v>5106.485</v>
      </c>
      <c r="AE120" s="8">
        <f>SUM(C120,E120,G120,I120,K120,M120,O120,Q120,S120,U120,W120,Y120,AA120,AC120)</f>
        <v/>
      </c>
      <c r="AF120" s="8">
        <f>SUM(D120,F120,H120,J120,L120,N120,P120,R120,T120,V120,X120,Z120,AB120,AD120)</f>
        <v/>
      </c>
      <c r="AG120" s="8">
        <f>AE120+AF120</f>
        <v/>
      </c>
    </row>
    <row r="121">
      <c r="A121" s="10" t="n">
        <v>116</v>
      </c>
      <c r="B121" s="28" t="inlineStr">
        <is>
          <t>Bostankaya</t>
        </is>
      </c>
      <c r="C121" s="12" t="n">
        <v>32640.975</v>
      </c>
      <c r="D121" s="12" t="n">
        <v>592</v>
      </c>
      <c r="E121" s="12" t="n">
        <v>30166.837</v>
      </c>
      <c r="F121" s="12" t="n">
        <v>315.7</v>
      </c>
      <c r="G121" s="12" t="n">
        <v>16509.582</v>
      </c>
      <c r="H121" s="12" t="n">
        <v>14834.095</v>
      </c>
      <c r="I121" s="12" t="n">
        <v>8366.209999999999</v>
      </c>
      <c r="J121" s="12" t="n">
        <v>66291.735</v>
      </c>
      <c r="K121" s="12" t="n">
        <v>7684.11</v>
      </c>
      <c r="L121" s="12" t="n">
        <v>40880.295</v>
      </c>
      <c r="M121" s="12" t="n">
        <v>3515.83</v>
      </c>
      <c r="N121" s="12" t="n">
        <v>3325.505</v>
      </c>
      <c r="O121" s="12" t="n">
        <v>85637.72</v>
      </c>
      <c r="P121" s="12" t="n">
        <v>90658.02499999999</v>
      </c>
      <c r="Q121" s="12" t="n">
        <v>70061.11500000001</v>
      </c>
      <c r="R121" s="12" t="n">
        <v>56924.912</v>
      </c>
      <c r="S121" s="12" t="n">
        <v>125447.35</v>
      </c>
      <c r="T121" s="12" t="n">
        <v>20316</v>
      </c>
      <c r="U121" s="12" t="n">
        <v>40623.465</v>
      </c>
      <c r="V121" s="12" t="n">
        <v>3863.75</v>
      </c>
      <c r="W121" s="12" t="n">
        <v>50791.9</v>
      </c>
      <c r="X121" s="12" t="n">
        <v>6643.7</v>
      </c>
      <c r="Y121" s="12" t="n">
        <v>73326.05</v>
      </c>
      <c r="Z121" s="12" t="n">
        <v>9701.9</v>
      </c>
      <c r="AA121" s="12" t="n">
        <v>75954.50999999999</v>
      </c>
      <c r="AB121" s="12" t="n">
        <v>12854</v>
      </c>
      <c r="AC121" s="12" t="n">
        <v>61864.68</v>
      </c>
      <c r="AD121" s="12" t="n">
        <v>9429.684999999999</v>
      </c>
      <c r="AE121" s="13">
        <f>SUM(C121,E121,G121,I121,K121,M121,O121,Q121,S121,U121,W121,Y121,AA121,AC121)</f>
        <v/>
      </c>
      <c r="AF121" s="13">
        <f>SUM(D121,F121,H121,J121,L121,N121,P121,R121,T121,V121,X121,Z121,AB121,AD121)</f>
        <v/>
      </c>
      <c r="AG121" s="13">
        <f>AE121+AF121</f>
        <v/>
      </c>
    </row>
    <row r="122">
      <c r="A122" s="5" t="n">
        <v>117</v>
      </c>
      <c r="B122" s="27" t="inlineStr">
        <is>
          <t>Dörtyol</t>
        </is>
      </c>
      <c r="C122" s="7" t="n">
        <v>45712.431</v>
      </c>
      <c r="D122" s="7" t="n">
        <v>9117.83</v>
      </c>
      <c r="E122" s="7" t="n">
        <v>95961.989</v>
      </c>
      <c r="F122" s="7" t="n">
        <v>17619.375</v>
      </c>
      <c r="G122" s="7" t="n">
        <v>128499.196</v>
      </c>
      <c r="H122" s="7" t="n">
        <v>17980.96</v>
      </c>
      <c r="I122" s="7" t="n">
        <v>88841.671</v>
      </c>
      <c r="J122" s="7" t="n">
        <v>24158.155</v>
      </c>
      <c r="K122" s="7" t="n">
        <v>77854.87</v>
      </c>
      <c r="L122" s="7" t="n">
        <v>28530.96</v>
      </c>
      <c r="M122" s="7" t="n">
        <v>89425.795</v>
      </c>
      <c r="N122" s="7" t="n">
        <v>46441.155</v>
      </c>
      <c r="O122" s="7" t="n">
        <v>47817.286</v>
      </c>
      <c r="P122" s="7" t="n">
        <v>39968.385</v>
      </c>
      <c r="Q122" s="7" t="n">
        <v>29505.795</v>
      </c>
      <c r="R122" s="7" t="n">
        <v>33408.74</v>
      </c>
      <c r="S122" s="7" t="n">
        <v>51996.112</v>
      </c>
      <c r="T122" s="7" t="n">
        <v>42272.98</v>
      </c>
      <c r="U122" s="7" t="n">
        <v>22831.599</v>
      </c>
      <c r="V122" s="7" t="n">
        <v>32502.62</v>
      </c>
      <c r="W122" s="7" t="n">
        <v>13868.284</v>
      </c>
      <c r="X122" s="7" t="n">
        <v>14185.465</v>
      </c>
      <c r="Y122" s="7" t="n">
        <v>789.754</v>
      </c>
      <c r="Z122" s="7" t="n">
        <v>848.71</v>
      </c>
      <c r="AA122" s="7" t="n">
        <v>2726.043</v>
      </c>
      <c r="AB122" s="7" t="n">
        <v>1744.165</v>
      </c>
      <c r="AC122" s="7" t="n">
        <v>6582.69</v>
      </c>
      <c r="AD122" s="7" t="n">
        <v>1770.53</v>
      </c>
      <c r="AE122" s="8">
        <f>SUM(C122,E122,G122,I122,K122,M122,O122,Q122,S122,U122,W122,Y122,AA122,AC122)</f>
        <v/>
      </c>
      <c r="AF122" s="8">
        <f>SUM(D122,F122,H122,J122,L122,N122,P122,R122,T122,V122,X122,Z122,AB122,AD122)</f>
        <v/>
      </c>
      <c r="AG122" s="8">
        <f>AE122+AF122</f>
        <v/>
      </c>
    </row>
    <row r="123">
      <c r="A123" s="10" t="n">
        <v>118</v>
      </c>
      <c r="B123" s="28" t="inlineStr">
        <is>
          <t>Sığırcı</t>
        </is>
      </c>
      <c r="C123" s="12" t="n">
        <v>70763.05</v>
      </c>
      <c r="D123" s="12" t="n">
        <v>33110.06</v>
      </c>
      <c r="E123" s="12" t="n">
        <v>76936.75999999999</v>
      </c>
      <c r="F123" s="12" t="n">
        <v>40939.655</v>
      </c>
      <c r="G123" s="12" t="n">
        <v>103657.68</v>
      </c>
      <c r="H123" s="12" t="n">
        <v>50814.772</v>
      </c>
      <c r="I123" s="12" t="n">
        <v>67782.10000000001</v>
      </c>
      <c r="J123" s="12" t="n">
        <v>24216.91</v>
      </c>
      <c r="K123" s="12" t="n">
        <v>63531.9</v>
      </c>
      <c r="L123" s="12" t="n">
        <v>36397.42</v>
      </c>
      <c r="M123" s="12" t="n">
        <v>62207.12</v>
      </c>
      <c r="N123" s="12" t="n">
        <v>32062.01</v>
      </c>
      <c r="O123" s="12" t="n">
        <v>26239.5</v>
      </c>
      <c r="P123" s="12" t="n">
        <v>14227.49</v>
      </c>
      <c r="Q123" s="12" t="n">
        <v>35667.45</v>
      </c>
      <c r="R123" s="12" t="n">
        <v>14957.44</v>
      </c>
      <c r="S123" s="12" t="n">
        <v>35397.51</v>
      </c>
      <c r="T123" s="12" t="n">
        <v>15690.335</v>
      </c>
      <c r="U123" s="12" t="n">
        <v>42709.8</v>
      </c>
      <c r="V123" s="12" t="n">
        <v>17085.65</v>
      </c>
      <c r="W123" s="12" t="n">
        <v>30768.39</v>
      </c>
      <c r="X123" s="12" t="n">
        <v>13232.16</v>
      </c>
      <c r="Y123" s="12" t="n">
        <v>20064</v>
      </c>
      <c r="Z123" s="12" t="n">
        <v>8785.879999999999</v>
      </c>
      <c r="AA123" s="12" t="n">
        <v>16334</v>
      </c>
      <c r="AB123" s="12" t="n">
        <v>6815.68</v>
      </c>
      <c r="AC123" s="12" t="n">
        <v>9894.17</v>
      </c>
      <c r="AD123" s="12" t="n">
        <v>4806.1</v>
      </c>
      <c r="AE123" s="13">
        <f>SUM(C123,E123,G123,I123,K123,M123,O123,Q123,S123,U123,W123,Y123,AA123,AC123)</f>
        <v/>
      </c>
      <c r="AF123" s="13">
        <f>SUM(D123,F123,H123,J123,L123,N123,P123,R123,T123,V123,X123,Z123,AB123,AD123)</f>
        <v/>
      </c>
      <c r="AG123" s="13">
        <f>AE123+AF123</f>
        <v/>
      </c>
    </row>
    <row r="124">
      <c r="A124" s="5" t="n">
        <v>119</v>
      </c>
      <c r="B124" s="27" t="inlineStr">
        <is>
          <t>Arifiye</t>
        </is>
      </c>
      <c r="C124" s="7" t="n">
        <v>6555.84</v>
      </c>
      <c r="D124" s="7" t="n">
        <v>35918.82</v>
      </c>
      <c r="E124" s="7" t="n">
        <v>18791.715</v>
      </c>
      <c r="F124" s="7" t="n">
        <v>7226.79</v>
      </c>
      <c r="G124" s="7" t="n">
        <v>35515.6</v>
      </c>
      <c r="H124" s="7" t="n">
        <v>12834.118</v>
      </c>
      <c r="I124" s="7" t="n">
        <v>40812.635</v>
      </c>
      <c r="J124" s="7" t="n">
        <v>107358.145</v>
      </c>
      <c r="K124" s="7" t="n">
        <v>47641.134</v>
      </c>
      <c r="L124" s="7" t="n">
        <v>30984.307</v>
      </c>
      <c r="M124" s="7" t="n">
        <v>21923.38</v>
      </c>
      <c r="N124" s="7" t="n">
        <v>7339.886</v>
      </c>
      <c r="O124" s="7" t="n">
        <v>24541.545</v>
      </c>
      <c r="P124" s="7" t="n">
        <v>10894.21</v>
      </c>
      <c r="Q124" s="7" t="n">
        <v>43708.533</v>
      </c>
      <c r="R124" s="7" t="n">
        <v>26283.1</v>
      </c>
      <c r="S124" s="7" t="n">
        <v>37730.729</v>
      </c>
      <c r="T124" s="7" t="n">
        <v>30957.842</v>
      </c>
      <c r="U124" s="7" t="n">
        <v>46804.237</v>
      </c>
      <c r="V124" s="7" t="n">
        <v>28311.405</v>
      </c>
      <c r="W124" s="7" t="n">
        <v>73488.553</v>
      </c>
      <c r="X124" s="7" t="n">
        <v>26007.294</v>
      </c>
      <c r="Y124" s="7" t="n">
        <v>51339.834</v>
      </c>
      <c r="Z124" s="7" t="n">
        <v>16343.239</v>
      </c>
      <c r="AA124" s="7" t="n">
        <v>65797.034</v>
      </c>
      <c r="AB124" s="7" t="n">
        <v>25128.568</v>
      </c>
      <c r="AC124" s="7" t="n">
        <v>63875.272</v>
      </c>
      <c r="AD124" s="7" t="n">
        <v>22727.311</v>
      </c>
      <c r="AE124" s="8">
        <f>SUM(C124,E124,G124,I124,K124,M124,O124,Q124,S124,U124,W124,Y124,AA124,AC124)</f>
        <v/>
      </c>
      <c r="AF124" s="8">
        <f>SUM(D124,F124,H124,J124,L124,N124,P124,R124,T124,V124,X124,Z124,AB124,AD124)</f>
        <v/>
      </c>
      <c r="AG124" s="8">
        <f>AE124+AF124</f>
        <v/>
      </c>
    </row>
    <row r="125">
      <c r="A125" s="10" t="n">
        <v>120</v>
      </c>
      <c r="B125" s="28" t="inlineStr">
        <is>
          <t>Lalahan</t>
        </is>
      </c>
      <c r="C125" s="12" t="n">
        <v>54325.97</v>
      </c>
      <c r="D125" s="12" t="n">
        <v>273343.32</v>
      </c>
      <c r="E125" s="12" t="n">
        <v>35632.5</v>
      </c>
      <c r="F125" s="12" t="n">
        <v>200787.96</v>
      </c>
      <c r="G125" s="12" t="n">
        <v>34425</v>
      </c>
      <c r="H125" s="12" t="n">
        <v>198253.442</v>
      </c>
      <c r="I125" s="12" t="n">
        <v>52317.936</v>
      </c>
      <c r="J125" s="12" t="n">
        <v>90948.46000000001</v>
      </c>
      <c r="K125" s="12" t="n">
        <v>1579.225</v>
      </c>
      <c r="L125" s="12" t="n">
        <v>1888</v>
      </c>
      <c r="M125" s="12" t="n">
        <v>216.16</v>
      </c>
      <c r="N125" s="12" t="n">
        <v>5969.455</v>
      </c>
      <c r="O125" s="12" t="n"/>
      <c r="P125" s="12" t="n">
        <v>1090.3</v>
      </c>
      <c r="Q125" s="12" t="n"/>
      <c r="R125" s="12" t="n">
        <v>2057.19</v>
      </c>
      <c r="S125" s="12" t="n">
        <v>552.84</v>
      </c>
      <c r="T125" s="12" t="n">
        <v>1311.3</v>
      </c>
      <c r="U125" s="12" t="n"/>
      <c r="V125" s="12" t="n">
        <v>2847.435</v>
      </c>
      <c r="W125" s="12" t="n"/>
      <c r="X125" s="12" t="n"/>
      <c r="Y125" s="12" t="n"/>
      <c r="Z125" s="12" t="n"/>
      <c r="AA125" s="12" t="n">
        <v>5</v>
      </c>
      <c r="AB125" s="12" t="n">
        <v>5</v>
      </c>
      <c r="AC125" s="12" t="n">
        <v>13</v>
      </c>
      <c r="AD125" s="12" t="n">
        <v>111</v>
      </c>
      <c r="AE125" s="13">
        <f>SUM(C125,E125,G125,I125,K125,M125,O125,Q125,S125,U125,W125,Y125,AA125,AC125)</f>
        <v/>
      </c>
      <c r="AF125" s="13">
        <f>SUM(D125,F125,H125,J125,L125,N125,P125,R125,T125,V125,X125,Z125,AB125,AD125)</f>
        <v/>
      </c>
      <c r="AG125" s="13">
        <f>AE125+AF125</f>
        <v/>
      </c>
    </row>
    <row r="126">
      <c r="A126" s="5" t="n">
        <v>121</v>
      </c>
      <c r="B126" s="27" t="inlineStr">
        <is>
          <t>Tecer</t>
        </is>
      </c>
      <c r="C126" s="7" t="n">
        <v>2101.74</v>
      </c>
      <c r="D126" s="7" t="n">
        <v>5330</v>
      </c>
      <c r="E126" s="7" t="n">
        <v>11850</v>
      </c>
      <c r="F126" s="7" t="n">
        <v>0.12</v>
      </c>
      <c r="G126" s="7" t="n">
        <v>125481</v>
      </c>
      <c r="H126" s="7" t="n">
        <v>30</v>
      </c>
      <c r="I126" s="7" t="n">
        <v>102841.68</v>
      </c>
      <c r="J126" s="7" t="n">
        <v>26133.15</v>
      </c>
      <c r="K126" s="7" t="n">
        <v>62968.05</v>
      </c>
      <c r="L126" s="7" t="n">
        <v>13649.5</v>
      </c>
      <c r="M126" s="7" t="n">
        <v>43703.41</v>
      </c>
      <c r="N126" s="7" t="n">
        <v>7970</v>
      </c>
      <c r="O126" s="7" t="n">
        <v>59175.67</v>
      </c>
      <c r="P126" s="7" t="n">
        <v>10860</v>
      </c>
      <c r="Q126" s="7" t="n">
        <v>60283.76</v>
      </c>
      <c r="R126" s="7" t="n">
        <v>11901.5</v>
      </c>
      <c r="S126" s="7" t="n">
        <v>62629.964</v>
      </c>
      <c r="T126" s="7" t="n">
        <v>11140</v>
      </c>
      <c r="U126" s="7" t="n">
        <v>57721.255</v>
      </c>
      <c r="V126" s="7" t="n">
        <v>10440</v>
      </c>
      <c r="W126" s="7" t="n">
        <v>56196.748</v>
      </c>
      <c r="X126" s="7" t="n">
        <v>10200</v>
      </c>
      <c r="Y126" s="7" t="n">
        <v>13959.5</v>
      </c>
      <c r="Z126" s="7" t="n">
        <v>780</v>
      </c>
      <c r="AA126" s="7" t="n">
        <v>14779.75</v>
      </c>
      <c r="AB126" s="7" t="n"/>
      <c r="AC126" s="7" t="n">
        <v>105887.35</v>
      </c>
      <c r="AD126" s="7" t="n">
        <v>13</v>
      </c>
      <c r="AE126" s="8">
        <f>SUM(C126,E126,G126,I126,K126,M126,O126,Q126,S126,U126,W126,Y126,AA126,AC126)</f>
        <v/>
      </c>
      <c r="AF126" s="8">
        <f>SUM(D126,F126,H126,J126,L126,N126,P126,R126,T126,V126,X126,Z126,AB126,AD126)</f>
        <v/>
      </c>
      <c r="AG126" s="8">
        <f>AE126+AF126</f>
        <v/>
      </c>
    </row>
    <row r="127">
      <c r="A127" s="10" t="n">
        <v>122</v>
      </c>
      <c r="B127" s="28" t="inlineStr">
        <is>
          <t>Uşak</t>
        </is>
      </c>
      <c r="C127" s="12" t="n">
        <v>164060.33</v>
      </c>
      <c r="D127" s="12" t="n">
        <v>46855.121</v>
      </c>
      <c r="E127" s="12" t="n">
        <v>242249.555</v>
      </c>
      <c r="F127" s="12" t="n">
        <v>35654.042</v>
      </c>
      <c r="G127" s="12" t="n">
        <v>78211.198</v>
      </c>
      <c r="H127" s="12" t="n">
        <v>15714.095</v>
      </c>
      <c r="I127" s="12" t="n">
        <v>101289.99</v>
      </c>
      <c r="J127" s="12" t="n">
        <v>9149.806</v>
      </c>
      <c r="K127" s="12" t="n">
        <v>16051.54</v>
      </c>
      <c r="L127" s="12" t="n">
        <v>12141.695</v>
      </c>
      <c r="M127" s="12" t="n">
        <v>14570.019</v>
      </c>
      <c r="N127" s="12" t="n">
        <v>11286.211</v>
      </c>
      <c r="O127" s="12" t="n">
        <v>22601.745</v>
      </c>
      <c r="P127" s="12" t="n">
        <v>5423.34</v>
      </c>
      <c r="Q127" s="12" t="n">
        <v>21686.615</v>
      </c>
      <c r="R127" s="12" t="n">
        <v>6469.2</v>
      </c>
      <c r="S127" s="12" t="n">
        <v>16581.57</v>
      </c>
      <c r="T127" s="12" t="n">
        <v>8387.474</v>
      </c>
      <c r="U127" s="12" t="n">
        <v>12037.265</v>
      </c>
      <c r="V127" s="12" t="n">
        <v>6018.334</v>
      </c>
      <c r="W127" s="12" t="n">
        <v>9949.209000000001</v>
      </c>
      <c r="X127" s="12" t="n">
        <v>4029.555</v>
      </c>
      <c r="Y127" s="12" t="n">
        <v>7793.366</v>
      </c>
      <c r="Z127" s="12" t="n">
        <v>2019.584</v>
      </c>
      <c r="AA127" s="12" t="n">
        <v>4560.75</v>
      </c>
      <c r="AB127" s="12" t="n">
        <v>937.9930000000001</v>
      </c>
      <c r="AC127" s="12" t="n">
        <v>3976.07</v>
      </c>
      <c r="AD127" s="12" t="n">
        <v>948.676</v>
      </c>
      <c r="AE127" s="13">
        <f>SUM(C127,E127,G127,I127,K127,M127,O127,Q127,S127,U127,W127,Y127,AA127,AC127)</f>
        <v/>
      </c>
      <c r="AF127" s="13">
        <f>SUM(D127,F127,H127,J127,L127,N127,P127,R127,T127,V127,X127,Z127,AB127,AD127)</f>
        <v/>
      </c>
      <c r="AG127" s="13">
        <f>AE127+AF127</f>
        <v/>
      </c>
    </row>
    <row r="128">
      <c r="A128" s="5" t="n">
        <v>123</v>
      </c>
      <c r="B128" s="27" t="inlineStr">
        <is>
          <t>Argıthan</t>
        </is>
      </c>
      <c r="C128" s="7" t="n"/>
      <c r="D128" s="7" t="n">
        <v>44000</v>
      </c>
      <c r="E128" s="7" t="n"/>
      <c r="F128" s="7" t="n">
        <v>6605.6</v>
      </c>
      <c r="G128" s="7" t="n"/>
      <c r="H128" s="7" t="n">
        <v>5245.7</v>
      </c>
      <c r="I128" s="7" t="n"/>
      <c r="J128" s="7" t="n">
        <v>211.67</v>
      </c>
      <c r="K128" s="7" t="n">
        <v>42540.535</v>
      </c>
      <c r="L128" s="7" t="n">
        <v>5871.83</v>
      </c>
      <c r="M128" s="7" t="n">
        <v>68735.349</v>
      </c>
      <c r="N128" s="7" t="n">
        <v>12798.8</v>
      </c>
      <c r="O128" s="7" t="n">
        <v>112196.37</v>
      </c>
      <c r="P128" s="7" t="n">
        <v>23031.2</v>
      </c>
      <c r="Q128" s="7" t="n">
        <v>83893.60000000001</v>
      </c>
      <c r="R128" s="7" t="n">
        <v>14910</v>
      </c>
      <c r="S128" s="7" t="n">
        <v>121742.02</v>
      </c>
      <c r="T128" s="7" t="n">
        <v>21930</v>
      </c>
      <c r="U128" s="7" t="n">
        <v>115226.47</v>
      </c>
      <c r="V128" s="7" t="n">
        <v>20825</v>
      </c>
      <c r="W128" s="7" t="n">
        <v>76073.93399999999</v>
      </c>
      <c r="X128" s="7" t="n">
        <v>13280</v>
      </c>
      <c r="Y128" s="7" t="n">
        <v>39249.1</v>
      </c>
      <c r="Z128" s="7" t="n">
        <v>7030</v>
      </c>
      <c r="AA128" s="7" t="n">
        <v>36508.32</v>
      </c>
      <c r="AB128" s="7" t="n">
        <v>6690</v>
      </c>
      <c r="AC128" s="7" t="n"/>
      <c r="AD128" s="7" t="n"/>
      <c r="AE128" s="8">
        <f>SUM(C128,E128,G128,I128,K128,M128,O128,Q128,S128,U128,W128,Y128,AA128,AC128)</f>
        <v/>
      </c>
      <c r="AF128" s="8">
        <f>SUM(D128,F128,H128,J128,L128,N128,P128,R128,T128,V128,X128,Z128,AB128,AD128)</f>
        <v/>
      </c>
      <c r="AG128" s="8">
        <f>AE128+AF128</f>
        <v/>
      </c>
    </row>
    <row r="129">
      <c r="A129" s="10" t="n">
        <v>124</v>
      </c>
      <c r="B129" s="28" t="inlineStr">
        <is>
          <t>Erzurum</t>
        </is>
      </c>
      <c r="C129" s="12" t="n">
        <v>36702.085</v>
      </c>
      <c r="D129" s="12" t="n">
        <v>139413.385</v>
      </c>
      <c r="E129" s="12" t="n">
        <v>20364.22</v>
      </c>
      <c r="F129" s="12" t="n">
        <v>149292.499</v>
      </c>
      <c r="G129" s="12" t="n">
        <v>26880.95</v>
      </c>
      <c r="H129" s="12" t="n">
        <v>142540.917</v>
      </c>
      <c r="I129" s="12" t="n">
        <v>15774.225</v>
      </c>
      <c r="J129" s="12" t="n">
        <v>101539.064</v>
      </c>
      <c r="K129" s="12" t="n">
        <v>18460.058</v>
      </c>
      <c r="L129" s="12" t="n">
        <v>89659.07399999999</v>
      </c>
      <c r="M129" s="12" t="n">
        <v>14503.715</v>
      </c>
      <c r="N129" s="12" t="n">
        <v>85194.026</v>
      </c>
      <c r="O129" s="12" t="n">
        <v>4545.03</v>
      </c>
      <c r="P129" s="12" t="n">
        <v>24799.085</v>
      </c>
      <c r="Q129" s="12" t="n"/>
      <c r="R129" s="12" t="n"/>
      <c r="S129" s="12" t="n"/>
      <c r="T129" s="12" t="n"/>
      <c r="U129" s="12" t="n"/>
      <c r="V129" s="12" t="n"/>
      <c r="W129" s="12" t="n"/>
      <c r="X129" s="12" t="n"/>
      <c r="Y129" s="12" t="n"/>
      <c r="Z129" s="12" t="n"/>
      <c r="AA129" s="12" t="n"/>
      <c r="AB129" s="12" t="n"/>
      <c r="AC129" s="12" t="n"/>
      <c r="AD129" s="12" t="n"/>
      <c r="AE129" s="13">
        <f>SUM(C129,E129,G129,I129,K129,M129,O129,Q129,S129,U129,W129,Y129,AA129,AC129)</f>
        <v/>
      </c>
      <c r="AF129" s="13">
        <f>SUM(D129,F129,H129,J129,L129,N129,P129,R129,T129,V129,X129,Z129,AB129,AD129)</f>
        <v/>
      </c>
      <c r="AG129" s="13">
        <f>AE129+AF129</f>
        <v/>
      </c>
    </row>
    <row r="130">
      <c r="A130" s="5" t="n">
        <v>125</v>
      </c>
      <c r="B130" s="27" t="inlineStr">
        <is>
          <t>Battalgazi</t>
        </is>
      </c>
      <c r="C130" s="7" t="n">
        <v>102048.173</v>
      </c>
      <c r="D130" s="7" t="n">
        <v>49463.6</v>
      </c>
      <c r="E130" s="7" t="n">
        <v>87180.95</v>
      </c>
      <c r="F130" s="7" t="n">
        <v>62493.53</v>
      </c>
      <c r="G130" s="7" t="n">
        <v>90442.95</v>
      </c>
      <c r="H130" s="7" t="n">
        <v>43100.4</v>
      </c>
      <c r="I130" s="7" t="n">
        <v>48400.315</v>
      </c>
      <c r="J130" s="7" t="n">
        <v>36747.2</v>
      </c>
      <c r="K130" s="7" t="n">
        <v>96730</v>
      </c>
      <c r="L130" s="7" t="n">
        <v>29573.665</v>
      </c>
      <c r="M130" s="7" t="n">
        <v>104423.4</v>
      </c>
      <c r="N130" s="7" t="n">
        <v>27543.35</v>
      </c>
      <c r="O130" s="7" t="n">
        <v>300</v>
      </c>
      <c r="P130" s="7" t="n">
        <v>2527</v>
      </c>
      <c r="Q130" s="7" t="n"/>
      <c r="R130" s="7" t="n">
        <v>1550</v>
      </c>
      <c r="S130" s="7" t="n"/>
      <c r="T130" s="7" t="n">
        <v>1800</v>
      </c>
      <c r="U130" s="7" t="n"/>
      <c r="V130" s="7" t="n"/>
      <c r="W130" s="7" t="n"/>
      <c r="X130" s="7" t="n"/>
      <c r="Y130" s="7" t="n">
        <v>125.58</v>
      </c>
      <c r="Z130" s="7" t="n">
        <v>16697</v>
      </c>
      <c r="AA130" s="7" t="n">
        <v>302</v>
      </c>
      <c r="AB130" s="7" t="n">
        <v>19278.95</v>
      </c>
      <c r="AC130" s="7" t="n">
        <v>3060.7</v>
      </c>
      <c r="AD130" s="7" t="n">
        <v>16661.15</v>
      </c>
      <c r="AE130" s="8">
        <f>SUM(C130,E130,G130,I130,K130,M130,O130,Q130,S130,U130,W130,Y130,AA130,AC130)</f>
        <v/>
      </c>
      <c r="AF130" s="8">
        <f>SUM(D130,F130,H130,J130,L130,N130,P130,R130,T130,V130,X130,Z130,AB130,AD130)</f>
        <v/>
      </c>
      <c r="AG130" s="8">
        <f>AE130+AF130</f>
        <v/>
      </c>
    </row>
    <row r="131">
      <c r="A131" s="10" t="n">
        <v>126</v>
      </c>
      <c r="B131" s="28" t="inlineStr">
        <is>
          <t>Ergani</t>
        </is>
      </c>
      <c r="C131" s="12" t="n">
        <v>22941.07</v>
      </c>
      <c r="D131" s="12" t="n">
        <v>123991.55</v>
      </c>
      <c r="E131" s="12" t="n">
        <v>17905.36</v>
      </c>
      <c r="F131" s="12" t="n">
        <v>100706.1</v>
      </c>
      <c r="G131" s="12" t="n">
        <v>16007</v>
      </c>
      <c r="H131" s="12" t="n">
        <v>89001.5</v>
      </c>
      <c r="I131" s="12" t="n">
        <v>2552.41</v>
      </c>
      <c r="J131" s="12" t="n">
        <v>22512.225</v>
      </c>
      <c r="K131" s="12" t="n">
        <v>25638.74</v>
      </c>
      <c r="L131" s="12" t="n">
        <v>20048.245</v>
      </c>
      <c r="M131" s="12" t="n">
        <v>11062.431</v>
      </c>
      <c r="N131" s="12" t="n">
        <v>54824.31</v>
      </c>
      <c r="O131" s="12" t="n">
        <v>12347.055</v>
      </c>
      <c r="P131" s="12" t="n">
        <v>66906.895</v>
      </c>
      <c r="Q131" s="12" t="n">
        <v>23656.695</v>
      </c>
      <c r="R131" s="12" t="n">
        <v>78381.715</v>
      </c>
      <c r="S131" s="12" t="n">
        <v>1966.07</v>
      </c>
      <c r="T131" s="12" t="n">
        <v>15852.446</v>
      </c>
      <c r="U131" s="12" t="n">
        <v>4200.475</v>
      </c>
      <c r="V131" s="12" t="n">
        <v>21653.704</v>
      </c>
      <c r="W131" s="12" t="n">
        <v>3700.855</v>
      </c>
      <c r="X131" s="12" t="n">
        <v>21137.535</v>
      </c>
      <c r="Y131" s="12" t="n">
        <v>1532.425</v>
      </c>
      <c r="Z131" s="12" t="n">
        <v>2829.218</v>
      </c>
      <c r="AA131" s="12" t="n">
        <v>815.365</v>
      </c>
      <c r="AB131" s="12" t="n">
        <v>5049.634</v>
      </c>
      <c r="AC131" s="12" t="n">
        <v>6878.05</v>
      </c>
      <c r="AD131" s="12" t="n">
        <v>41633.01</v>
      </c>
      <c r="AE131" s="13">
        <f>SUM(C131,E131,G131,I131,K131,M131,O131,Q131,S131,U131,W131,Y131,AA131,AC131)</f>
        <v/>
      </c>
      <c r="AF131" s="13">
        <f>SUM(D131,F131,H131,J131,L131,N131,P131,R131,T131,V131,X131,Z131,AB131,AD131)</f>
        <v/>
      </c>
      <c r="AG131" s="13">
        <f>AE131+AF131</f>
        <v/>
      </c>
    </row>
    <row r="132">
      <c r="A132" s="5" t="n">
        <v>127</v>
      </c>
      <c r="B132" s="27" t="inlineStr">
        <is>
          <t>Kalın</t>
        </is>
      </c>
      <c r="C132" s="7" t="n">
        <v>18203.465</v>
      </c>
      <c r="D132" s="7" t="n">
        <v>71295.08</v>
      </c>
      <c r="E132" s="7" t="n">
        <v>11371.825</v>
      </c>
      <c r="F132" s="7" t="n">
        <v>39328.88</v>
      </c>
      <c r="G132" s="7" t="n">
        <v>628.8</v>
      </c>
      <c r="H132" s="7" t="n">
        <v>23224.5</v>
      </c>
      <c r="I132" s="7" t="n">
        <v>3456.49</v>
      </c>
      <c r="J132" s="7" t="n">
        <v>22742.08</v>
      </c>
      <c r="K132" s="7" t="n">
        <v>2038.935</v>
      </c>
      <c r="L132" s="7" t="n">
        <v>1060.8</v>
      </c>
      <c r="M132" s="7" t="n">
        <v>736.89</v>
      </c>
      <c r="N132" s="7" t="n">
        <v>263.05</v>
      </c>
      <c r="O132" s="7" t="n">
        <v>302.4</v>
      </c>
      <c r="P132" s="7" t="n">
        <v>229562.44</v>
      </c>
      <c r="Q132" s="7" t="n">
        <v>762.8</v>
      </c>
      <c r="R132" s="7" t="n">
        <v>380301.3</v>
      </c>
      <c r="S132" s="7" t="n">
        <v>107</v>
      </c>
      <c r="T132" s="7" t="n">
        <v>76</v>
      </c>
      <c r="U132" s="7" t="n">
        <v>162</v>
      </c>
      <c r="V132" s="7" t="n">
        <v>4794.84</v>
      </c>
      <c r="W132" s="7" t="n"/>
      <c r="X132" s="7" t="n">
        <v>1223.69</v>
      </c>
      <c r="Y132" s="7" t="n"/>
      <c r="Z132" s="7" t="n"/>
      <c r="AA132" s="7" t="n">
        <v>1</v>
      </c>
      <c r="AB132" s="7" t="n">
        <v>215</v>
      </c>
      <c r="AC132" s="7" t="n">
        <v>5</v>
      </c>
      <c r="AD132" s="7" t="n">
        <v>452</v>
      </c>
      <c r="AE132" s="8">
        <f>SUM(C132,E132,G132,I132,K132,M132,O132,Q132,S132,U132,W132,Y132,AA132,AC132)</f>
        <v/>
      </c>
      <c r="AF132" s="8">
        <f>SUM(D132,F132,H132,J132,L132,N132,P132,R132,T132,V132,X132,Z132,AB132,AD132)</f>
        <v/>
      </c>
      <c r="AG132" s="8">
        <f>AE132+AF132</f>
        <v/>
      </c>
    </row>
    <row r="133">
      <c r="A133" s="10" t="n">
        <v>128</v>
      </c>
      <c r="B133" s="28" t="inlineStr">
        <is>
          <t>Palandöken</t>
        </is>
      </c>
      <c r="C133" s="12" t="n"/>
      <c r="D133" s="12" t="n"/>
      <c r="E133" s="12" t="n"/>
      <c r="F133" s="12" t="n"/>
      <c r="G133" s="12" t="n"/>
      <c r="H133" s="12" t="n"/>
      <c r="I133" s="12" t="n"/>
      <c r="J133" s="12" t="n"/>
      <c r="K133" s="12" t="n"/>
      <c r="L133" s="12" t="n"/>
      <c r="M133" s="12" t="n"/>
      <c r="N133" s="12" t="n"/>
      <c r="O133" s="12" t="n">
        <v>2706.856</v>
      </c>
      <c r="P133" s="12" t="n">
        <v>19792.003</v>
      </c>
      <c r="Q133" s="12" t="n">
        <v>17010.23</v>
      </c>
      <c r="R133" s="12" t="n">
        <v>114314.19</v>
      </c>
      <c r="S133" s="12" t="n">
        <v>20568.65</v>
      </c>
      <c r="T133" s="12" t="n">
        <v>149028.289</v>
      </c>
      <c r="U133" s="12" t="n">
        <v>12347.119</v>
      </c>
      <c r="V133" s="12" t="n">
        <v>178853.384</v>
      </c>
      <c r="W133" s="12" t="n">
        <v>8057.845</v>
      </c>
      <c r="X133" s="12" t="n">
        <v>98955.808</v>
      </c>
      <c r="Y133" s="12" t="n">
        <v>7733.824</v>
      </c>
      <c r="Z133" s="12" t="n">
        <v>63636.281</v>
      </c>
      <c r="AA133" s="12" t="n">
        <v>7298.336</v>
      </c>
      <c r="AB133" s="12" t="n">
        <v>67490.978</v>
      </c>
      <c r="AC133" s="12" t="n">
        <v>3766.609</v>
      </c>
      <c r="AD133" s="12" t="n">
        <v>37216.396</v>
      </c>
      <c r="AE133" s="13">
        <f>SUM(C133,E133,G133,I133,K133,M133,O133,Q133,S133,U133,W133,Y133,AA133,AC133)</f>
        <v/>
      </c>
      <c r="AF133" s="13">
        <f>SUM(D133,F133,H133,J133,L133,N133,P133,R133,T133,V133,X133,Z133,AB133,AD133)</f>
        <v/>
      </c>
      <c r="AG133" s="13">
        <f>AE133+AF133</f>
        <v/>
      </c>
    </row>
    <row r="134">
      <c r="A134" s="5" t="n">
        <v>129</v>
      </c>
      <c r="B134" s="27" t="inlineStr">
        <is>
          <t>Killik</t>
        </is>
      </c>
      <c r="C134" s="7" t="n"/>
      <c r="D134" s="7" t="n"/>
      <c r="E134" s="7" t="n"/>
      <c r="F134" s="7" t="n"/>
      <c r="G134" s="7" t="n"/>
      <c r="H134" s="7" t="n"/>
      <c r="I134" s="7" t="n"/>
      <c r="J134" s="7" t="n"/>
      <c r="K134" s="7" t="n"/>
      <c r="L134" s="7" t="n"/>
      <c r="M134" s="7" t="n"/>
      <c r="N134" s="7" t="n"/>
      <c r="O134" s="7" t="n"/>
      <c r="P134" s="7" t="n"/>
      <c r="Q134" s="7" t="n"/>
      <c r="R134" s="7" t="n"/>
      <c r="S134" s="7" t="n"/>
      <c r="T134" s="7" t="n"/>
      <c r="U134" s="7" t="n">
        <v>45285</v>
      </c>
      <c r="V134" s="7" t="n">
        <v>10800.7</v>
      </c>
      <c r="W134" s="7" t="n">
        <v>151686.3</v>
      </c>
      <c r="X134" s="7" t="n">
        <v>38708.75</v>
      </c>
      <c r="Y134" s="7" t="n">
        <v>150987.475</v>
      </c>
      <c r="Z134" s="7" t="n">
        <v>39019.06</v>
      </c>
      <c r="AA134" s="7" t="n">
        <v>167645.295</v>
      </c>
      <c r="AB134" s="7" t="n">
        <v>44916.195</v>
      </c>
      <c r="AC134" s="7" t="n">
        <v>103665.115</v>
      </c>
      <c r="AD134" s="7" t="n">
        <v>26195.99</v>
      </c>
      <c r="AE134" s="8">
        <f>SUM(C134,E134,G134,I134,K134,M134,O134,Q134,S134,U134,W134,Y134,AA134,AC134)</f>
        <v/>
      </c>
      <c r="AF134" s="8">
        <f>SUM(D134,F134,H134,J134,L134,N134,P134,R134,T134,V134,X134,Z134,AB134,AD134)</f>
        <v/>
      </c>
      <c r="AG134" s="8">
        <f>AE134+AF134</f>
        <v/>
      </c>
    </row>
    <row r="135">
      <c r="A135" s="10" t="n">
        <v>130</v>
      </c>
      <c r="B135" s="28" t="inlineStr">
        <is>
          <t>Kırcasalih</t>
        </is>
      </c>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v>92572.41499999999</v>
      </c>
      <c r="X135" s="12" t="n">
        <v>15315</v>
      </c>
      <c r="Y135" s="12" t="n">
        <v>176241.549</v>
      </c>
      <c r="Z135" s="12" t="n">
        <v>23745</v>
      </c>
      <c r="AA135" s="12" t="n">
        <v>235301.152</v>
      </c>
      <c r="AB135" s="12" t="n">
        <v>34197.5</v>
      </c>
      <c r="AC135" s="12" t="n">
        <v>139642.498</v>
      </c>
      <c r="AD135" s="12" t="n">
        <v>22837.1</v>
      </c>
      <c r="AE135" s="13">
        <f>SUM(C135,E135,G135,I135,K135,M135,O135,Q135,S135,U135,W135,Y135,AA135,AC135)</f>
        <v/>
      </c>
      <c r="AF135" s="13">
        <f>SUM(D135,F135,H135,J135,L135,N135,P135,R135,T135,V135,X135,Z135,AB135,AD135)</f>
        <v/>
      </c>
      <c r="AG135" s="13">
        <f>AE135+AF135</f>
        <v/>
      </c>
    </row>
    <row r="136">
      <c r="A136" s="5" t="n">
        <v>131</v>
      </c>
      <c r="B136" s="27" t="inlineStr">
        <is>
          <t>Günyazı</t>
        </is>
      </c>
      <c r="C136" s="7" t="n">
        <v>23122.92</v>
      </c>
      <c r="D136" s="7" t="n">
        <v>8398.799999999999</v>
      </c>
      <c r="E136" s="7" t="n">
        <v>71797.2</v>
      </c>
      <c r="F136" s="7" t="n">
        <v>14207.61</v>
      </c>
      <c r="G136" s="7" t="n">
        <v>62805.95</v>
      </c>
      <c r="H136" s="7" t="n">
        <v>12439.2</v>
      </c>
      <c r="I136" s="7" t="n">
        <v>55218.54</v>
      </c>
      <c r="J136" s="7" t="n">
        <v>10113.65</v>
      </c>
      <c r="K136" s="7" t="n">
        <v>53270.095</v>
      </c>
      <c r="L136" s="7" t="n">
        <v>14504.3</v>
      </c>
      <c r="M136" s="7" t="n">
        <v>19477.109</v>
      </c>
      <c r="N136" s="7" t="n">
        <v>9557.040000000001</v>
      </c>
      <c r="O136" s="7" t="n">
        <v>9325.950000000001</v>
      </c>
      <c r="P136" s="7" t="n">
        <v>2173</v>
      </c>
      <c r="Q136" s="7" t="n">
        <v>42102.4</v>
      </c>
      <c r="R136" s="7" t="n">
        <v>9089.85</v>
      </c>
      <c r="S136" s="7" t="n">
        <v>57176.15</v>
      </c>
      <c r="T136" s="7" t="n">
        <v>30163.2</v>
      </c>
      <c r="U136" s="7" t="n">
        <v>52646.085</v>
      </c>
      <c r="V136" s="7" t="n">
        <v>20614.67</v>
      </c>
      <c r="W136" s="7" t="n">
        <v>47295.19</v>
      </c>
      <c r="X136" s="7" t="n">
        <v>27781.35</v>
      </c>
      <c r="Y136" s="7" t="n">
        <v>31337.55</v>
      </c>
      <c r="Z136" s="7" t="n">
        <v>11829.48</v>
      </c>
      <c r="AA136" s="7" t="n">
        <v>26737.181</v>
      </c>
      <c r="AB136" s="7" t="n">
        <v>12056.13</v>
      </c>
      <c r="AC136" s="7" t="n"/>
      <c r="AD136" s="7" t="n"/>
      <c r="AE136" s="8">
        <f>SUM(C136,E136,G136,I136,K136,M136,O136,Q136,S136,U136,W136,Y136,AA136,AC136)</f>
        <v/>
      </c>
      <c r="AF136" s="8">
        <f>SUM(D136,F136,H136,J136,L136,N136,P136,R136,T136,V136,X136,Z136,AB136,AD136)</f>
        <v/>
      </c>
      <c r="AG136" s="8">
        <f>AE136+AF136</f>
        <v/>
      </c>
    </row>
    <row r="137">
      <c r="A137" s="10" t="n">
        <v>132</v>
      </c>
      <c r="B137" s="28" t="inlineStr">
        <is>
          <t>Muratlı</t>
        </is>
      </c>
      <c r="C137" s="12" t="n">
        <v>1675</v>
      </c>
      <c r="D137" s="12" t="n">
        <v>15316.884</v>
      </c>
      <c r="E137" s="12" t="n">
        <v>4091.413</v>
      </c>
      <c r="F137" s="12" t="n">
        <v>24318.04</v>
      </c>
      <c r="G137" s="12" t="n">
        <v>2960</v>
      </c>
      <c r="H137" s="12" t="n">
        <v>10537.04</v>
      </c>
      <c r="I137" s="12" t="n">
        <v>8222.6</v>
      </c>
      <c r="J137" s="12" t="n">
        <v>35362.52</v>
      </c>
      <c r="K137" s="12" t="n">
        <v>32679.385</v>
      </c>
      <c r="L137" s="12" t="n">
        <v>132781.88</v>
      </c>
      <c r="M137" s="12" t="n">
        <v>42484.513</v>
      </c>
      <c r="N137" s="12" t="n">
        <v>80245.427</v>
      </c>
      <c r="O137" s="12" t="n">
        <v>40231.001</v>
      </c>
      <c r="P137" s="12" t="n">
        <v>7098.214</v>
      </c>
      <c r="Q137" s="12" t="n">
        <v>10081.208</v>
      </c>
      <c r="R137" s="12" t="n">
        <v>12759.958</v>
      </c>
      <c r="S137" s="12" t="n">
        <v>3425.437</v>
      </c>
      <c r="T137" s="12" t="n">
        <v>8217.9</v>
      </c>
      <c r="U137" s="12" t="n">
        <v>51938.065</v>
      </c>
      <c r="V137" s="12" t="n">
        <v>1674.996</v>
      </c>
      <c r="W137" s="12" t="n">
        <v>23610.875</v>
      </c>
      <c r="X137" s="12" t="n">
        <v>152.8</v>
      </c>
      <c r="Y137" s="12" t="n">
        <v>25828.202</v>
      </c>
      <c r="Z137" s="12" t="n">
        <v>2614.2</v>
      </c>
      <c r="AA137" s="12" t="n">
        <v>36418.955</v>
      </c>
      <c r="AB137" s="12" t="n">
        <v>5950.695</v>
      </c>
      <c r="AC137" s="12" t="n">
        <v>29079.938</v>
      </c>
      <c r="AD137" s="12" t="n">
        <v>6582.115</v>
      </c>
      <c r="AE137" s="13">
        <f>SUM(C137,E137,G137,I137,K137,M137,O137,Q137,S137,U137,W137,Y137,AA137,AC137)</f>
        <v/>
      </c>
      <c r="AF137" s="13">
        <f>SUM(D137,F137,H137,J137,L137,N137,P137,R137,T137,V137,X137,Z137,AB137,AD137)</f>
        <v/>
      </c>
      <c r="AG137" s="13">
        <f>AE137+AF137</f>
        <v/>
      </c>
    </row>
    <row r="138">
      <c r="A138" s="5" t="n">
        <v>133</v>
      </c>
      <c r="B138" s="27" t="inlineStr">
        <is>
          <t>Büyükçobanlar</t>
        </is>
      </c>
      <c r="C138" s="7" t="n">
        <v>44000</v>
      </c>
      <c r="D138" s="7" t="n">
        <v>35</v>
      </c>
      <c r="E138" s="7" t="n">
        <v>121250</v>
      </c>
      <c r="F138" s="7" t="n">
        <v>163763.31</v>
      </c>
      <c r="G138" s="7" t="n">
        <v>110250</v>
      </c>
      <c r="H138" s="7" t="n">
        <v>58792.88</v>
      </c>
      <c r="I138" s="7" t="n"/>
      <c r="J138" s="7" t="n">
        <v>20</v>
      </c>
      <c r="K138" s="7" t="n">
        <v>13760</v>
      </c>
      <c r="L138" s="7" t="n">
        <v>10942.71</v>
      </c>
      <c r="M138" s="7" t="n">
        <v>398.2</v>
      </c>
      <c r="N138" s="7" t="n">
        <v>868.165</v>
      </c>
      <c r="O138" s="7" t="n">
        <v>27881.275</v>
      </c>
      <c r="P138" s="7" t="n">
        <v>14305.405</v>
      </c>
      <c r="Q138" s="7" t="n">
        <v>37633.465</v>
      </c>
      <c r="R138" s="7" t="n">
        <v>20484.11</v>
      </c>
      <c r="S138" s="7" t="n">
        <v>9051.99</v>
      </c>
      <c r="T138" s="7" t="n">
        <v>2060.4</v>
      </c>
      <c r="U138" s="7" t="n">
        <v>8345.699000000001</v>
      </c>
      <c r="V138" s="7" t="n">
        <v>9364.35</v>
      </c>
      <c r="W138" s="7" t="n">
        <v>225</v>
      </c>
      <c r="X138" s="7" t="n"/>
      <c r="Y138" s="7" t="n"/>
      <c r="Z138" s="7" t="n"/>
      <c r="AA138" s="7" t="n"/>
      <c r="AB138" s="7" t="n"/>
      <c r="AC138" s="7" t="n">
        <v>1008</v>
      </c>
      <c r="AD138" s="7" t="n"/>
      <c r="AE138" s="8">
        <f>SUM(C138,E138,G138,I138,K138,M138,O138,Q138,S138,U138,W138,Y138,AA138,AC138)</f>
        <v/>
      </c>
      <c r="AF138" s="8">
        <f>SUM(D138,F138,H138,J138,L138,N138,P138,R138,T138,V138,X138,Z138,AB138,AD138)</f>
        <v/>
      </c>
      <c r="AG138" s="8">
        <f>AE138+AF138</f>
        <v/>
      </c>
    </row>
    <row r="139">
      <c r="A139" s="10" t="n">
        <v>134</v>
      </c>
      <c r="B139" s="28" t="inlineStr">
        <is>
          <t>Beylikköprü</t>
        </is>
      </c>
      <c r="C139" s="12" t="n">
        <v>22310.005</v>
      </c>
      <c r="D139" s="12" t="n">
        <v>3824.062</v>
      </c>
      <c r="E139" s="12" t="n">
        <v>46091.644</v>
      </c>
      <c r="F139" s="12" t="n">
        <v>94020.93700000001</v>
      </c>
      <c r="G139" s="12" t="n">
        <v>36569.73</v>
      </c>
      <c r="H139" s="12" t="n">
        <v>81816.68799999999</v>
      </c>
      <c r="I139" s="12" t="n">
        <v>20208.34</v>
      </c>
      <c r="J139" s="12" t="n">
        <v>84207.482</v>
      </c>
      <c r="K139" s="12" t="n">
        <v>7095.93</v>
      </c>
      <c r="L139" s="12" t="n">
        <v>7104.075</v>
      </c>
      <c r="M139" s="12" t="n">
        <v>9416.511</v>
      </c>
      <c r="N139" s="12" t="n">
        <v>8207.166999999999</v>
      </c>
      <c r="O139" s="12" t="n">
        <v>12630.558</v>
      </c>
      <c r="P139" s="12" t="n">
        <v>10629.614</v>
      </c>
      <c r="Q139" s="12" t="n">
        <v>17605.115</v>
      </c>
      <c r="R139" s="12" t="n">
        <v>2155.495</v>
      </c>
      <c r="S139" s="12" t="n">
        <v>11723.152</v>
      </c>
      <c r="T139" s="12" t="n">
        <v>5321.755</v>
      </c>
      <c r="U139" s="12" t="n">
        <v>4197.523</v>
      </c>
      <c r="V139" s="12" t="n">
        <v>1368.3</v>
      </c>
      <c r="W139" s="12" t="n">
        <v>7678.174</v>
      </c>
      <c r="X139" s="12" t="n">
        <v>2906.274</v>
      </c>
      <c r="Y139" s="12" t="n">
        <v>1681.753</v>
      </c>
      <c r="Z139" s="12" t="n">
        <v>12118.888</v>
      </c>
      <c r="AA139" s="12" t="n">
        <v>7985.04</v>
      </c>
      <c r="AB139" s="12" t="n">
        <v>9340.434999999999</v>
      </c>
      <c r="AC139" s="12" t="n">
        <v>78456.99000000001</v>
      </c>
      <c r="AD139" s="12" t="n">
        <v>25277.383</v>
      </c>
      <c r="AE139" s="13">
        <f>SUM(C139,E139,G139,I139,K139,M139,O139,Q139,S139,U139,W139,Y139,AA139,AC139)</f>
        <v/>
      </c>
      <c r="AF139" s="13">
        <f>SUM(D139,F139,H139,J139,L139,N139,P139,R139,T139,V139,X139,Z139,AB139,AD139)</f>
        <v/>
      </c>
      <c r="AG139" s="13">
        <f>AE139+AF139</f>
        <v/>
      </c>
    </row>
    <row r="140">
      <c r="A140" s="5" t="n">
        <v>135</v>
      </c>
      <c r="B140" s="27" t="inlineStr">
        <is>
          <t>Akgedik</t>
        </is>
      </c>
      <c r="C140" s="7" t="n">
        <v>37775</v>
      </c>
      <c r="D140" s="7" t="n">
        <v>975</v>
      </c>
      <c r="E140" s="7" t="n">
        <v>79362</v>
      </c>
      <c r="F140" s="7" t="n">
        <v>37</v>
      </c>
      <c r="G140" s="7" t="n">
        <v>30753.26</v>
      </c>
      <c r="H140" s="7" t="n">
        <v>9424</v>
      </c>
      <c r="I140" s="7" t="n">
        <v>48650.56</v>
      </c>
      <c r="J140" s="7" t="n">
        <v>3027</v>
      </c>
      <c r="K140" s="7" t="n">
        <v>34466</v>
      </c>
      <c r="L140" s="7" t="n">
        <v>1390</v>
      </c>
      <c r="M140" s="7" t="n">
        <v>21719.515</v>
      </c>
      <c r="N140" s="7" t="n">
        <v>16326.465</v>
      </c>
      <c r="O140" s="7" t="n">
        <v>20737.72</v>
      </c>
      <c r="P140" s="7" t="n">
        <v>11850.85</v>
      </c>
      <c r="Q140" s="7" t="n">
        <v>18442.58</v>
      </c>
      <c r="R140" s="7" t="n">
        <v>11850.835</v>
      </c>
      <c r="S140" s="7" t="n">
        <v>9062.48</v>
      </c>
      <c r="T140" s="7" t="n">
        <v>6126.74</v>
      </c>
      <c r="U140" s="7" t="n"/>
      <c r="V140" s="7" t="n"/>
      <c r="W140" s="7" t="n">
        <v>6960.23</v>
      </c>
      <c r="X140" s="7" t="n">
        <v>14734.65</v>
      </c>
      <c r="Y140" s="7" t="n">
        <v>34242.315</v>
      </c>
      <c r="Z140" s="7" t="n">
        <v>66527.02</v>
      </c>
      <c r="AA140" s="7" t="n">
        <v>36392.12</v>
      </c>
      <c r="AB140" s="7" t="n">
        <v>57205.25</v>
      </c>
      <c r="AC140" s="7" t="n">
        <v>10585.62</v>
      </c>
      <c r="AD140" s="7" t="n">
        <v>11546.58</v>
      </c>
      <c r="AE140" s="8">
        <f>SUM(C140,E140,G140,I140,K140,M140,O140,Q140,S140,U140,W140,Y140,AA140,AC140)</f>
        <v/>
      </c>
      <c r="AF140" s="8">
        <f>SUM(D140,F140,H140,J140,L140,N140,P140,R140,T140,V140,X140,Z140,AB140,AD140)</f>
        <v/>
      </c>
      <c r="AG140" s="8">
        <f>AE140+AF140</f>
        <v/>
      </c>
    </row>
    <row r="141">
      <c r="A141" s="10" t="n">
        <v>136</v>
      </c>
      <c r="B141" s="28" t="inlineStr">
        <is>
          <t>Gölbaşı</t>
        </is>
      </c>
      <c r="C141" s="12" t="n">
        <v>34110.17</v>
      </c>
      <c r="D141" s="12" t="n">
        <v>62049.5</v>
      </c>
      <c r="E141" s="12" t="n">
        <v>1499.175</v>
      </c>
      <c r="F141" s="12" t="n">
        <v>128491.45</v>
      </c>
      <c r="G141" s="12" t="n">
        <v>30.04</v>
      </c>
      <c r="H141" s="12" t="n">
        <v>17762.49</v>
      </c>
      <c r="I141" s="12" t="n">
        <v>2</v>
      </c>
      <c r="J141" s="12" t="n">
        <v>34926.39</v>
      </c>
      <c r="K141" s="12" t="n">
        <v>832</v>
      </c>
      <c r="L141" s="12" t="n">
        <v>34444.32</v>
      </c>
      <c r="M141" s="12" t="n">
        <v>609.3099999999999</v>
      </c>
      <c r="N141" s="12" t="n">
        <v>58847.304</v>
      </c>
      <c r="O141" s="12" t="n">
        <v>10772.2</v>
      </c>
      <c r="P141" s="12" t="n">
        <v>37268.5</v>
      </c>
      <c r="Q141" s="12" t="n">
        <v>12726.375</v>
      </c>
      <c r="R141" s="12" t="n">
        <v>39213.235</v>
      </c>
      <c r="S141" s="12" t="n">
        <v>9078.665000000001</v>
      </c>
      <c r="T141" s="12" t="n">
        <v>45175.49</v>
      </c>
      <c r="U141" s="12" t="n">
        <v>3230.42</v>
      </c>
      <c r="V141" s="12" t="n">
        <v>37925.7</v>
      </c>
      <c r="W141" s="12" t="n">
        <v>2305.96</v>
      </c>
      <c r="X141" s="12" t="n">
        <v>9798.92</v>
      </c>
      <c r="Y141" s="12" t="n"/>
      <c r="Z141" s="12" t="n"/>
      <c r="AA141" s="12" t="n">
        <v>894.72</v>
      </c>
      <c r="AB141" s="12" t="n">
        <v>759.35</v>
      </c>
      <c r="AC141" s="12" t="n">
        <v>4259.955</v>
      </c>
      <c r="AD141" s="12" t="n">
        <v>5344.56</v>
      </c>
      <c r="AE141" s="13">
        <f>SUM(C141,E141,G141,I141,K141,M141,O141,Q141,S141,U141,W141,Y141,AA141,AC141)</f>
        <v/>
      </c>
      <c r="AF141" s="13">
        <f>SUM(D141,F141,H141,J141,L141,N141,P141,R141,T141,V141,X141,Z141,AB141,AD141)</f>
        <v/>
      </c>
      <c r="AG141" s="13">
        <f>AE141+AF141</f>
        <v/>
      </c>
    </row>
    <row r="142">
      <c r="A142" s="5" t="n">
        <v>137</v>
      </c>
      <c r="B142" s="27" t="inlineStr">
        <is>
          <t>Elmadağ</t>
        </is>
      </c>
      <c r="C142" s="7" t="n">
        <v>19010.21</v>
      </c>
      <c r="D142" s="7" t="n">
        <v>94967.62</v>
      </c>
      <c r="E142" s="7" t="n">
        <v>17682.36</v>
      </c>
      <c r="F142" s="7" t="n">
        <v>101201.885</v>
      </c>
      <c r="G142" s="7" t="n">
        <v>14626.09</v>
      </c>
      <c r="H142" s="7" t="n">
        <v>76351.905</v>
      </c>
      <c r="I142" s="7" t="n">
        <v>7074.725</v>
      </c>
      <c r="J142" s="7" t="n">
        <v>35767.348</v>
      </c>
      <c r="K142" s="7" t="n">
        <v>13816.98</v>
      </c>
      <c r="L142" s="7" t="n">
        <v>72538.92</v>
      </c>
      <c r="M142" s="7" t="n">
        <v>15989.295</v>
      </c>
      <c r="N142" s="7" t="n">
        <v>52597.155</v>
      </c>
      <c r="O142" s="7" t="n">
        <v>13578.579</v>
      </c>
      <c r="P142" s="7" t="n">
        <v>8766.275</v>
      </c>
      <c r="Q142" s="7" t="n">
        <v>5124.229</v>
      </c>
      <c r="R142" s="7" t="n">
        <v>19932.37</v>
      </c>
      <c r="S142" s="7" t="n">
        <v>1486.385</v>
      </c>
      <c r="T142" s="7" t="n">
        <v>4659.14</v>
      </c>
      <c r="U142" s="7" t="n">
        <v>1392.135</v>
      </c>
      <c r="V142" s="7" t="n">
        <v>5688.235</v>
      </c>
      <c r="W142" s="7" t="n">
        <v>1239.32</v>
      </c>
      <c r="X142" s="7" t="n">
        <v>1547.41</v>
      </c>
      <c r="Y142" s="7" t="n">
        <v>377.445</v>
      </c>
      <c r="Z142" s="7" t="n">
        <v>704.415</v>
      </c>
      <c r="AA142" s="7" t="n">
        <v>412.815</v>
      </c>
      <c r="AB142" s="7" t="n">
        <v>908.8</v>
      </c>
      <c r="AC142" s="7" t="n">
        <v>296.925</v>
      </c>
      <c r="AD142" s="7" t="n">
        <v>646.55</v>
      </c>
      <c r="AE142" s="8">
        <f>SUM(C142,E142,G142,I142,K142,M142,O142,Q142,S142,U142,W142,Y142,AA142,AC142)</f>
        <v/>
      </c>
      <c r="AF142" s="8">
        <f>SUM(D142,F142,H142,J142,L142,N142,P142,R142,T142,V142,X142,Z142,AB142,AD142)</f>
        <v/>
      </c>
      <c r="AG142" s="8">
        <f>AE142+AF142</f>
        <v/>
      </c>
    </row>
    <row r="143">
      <c r="A143" s="10" t="n">
        <v>138</v>
      </c>
      <c r="B143" s="28" t="inlineStr">
        <is>
          <t>Cürek</t>
        </is>
      </c>
      <c r="C143" s="12" t="n"/>
      <c r="D143" s="12" t="n"/>
      <c r="E143" s="12" t="n"/>
      <c r="F143" s="12" t="n"/>
      <c r="G143" s="12" t="n"/>
      <c r="H143" s="12" t="n"/>
      <c r="I143" s="12" t="n"/>
      <c r="J143" s="12" t="n"/>
      <c r="K143" s="12" t="n">
        <v>1644.25</v>
      </c>
      <c r="L143" s="12" t="n">
        <v>420</v>
      </c>
      <c r="M143" s="12" t="n"/>
      <c r="N143" s="12" t="n">
        <v>450</v>
      </c>
      <c r="O143" s="12" t="n"/>
      <c r="P143" s="12" t="n"/>
      <c r="Q143" s="12" t="n"/>
      <c r="R143" s="12" t="n"/>
      <c r="S143" s="12" t="n">
        <v>14661.62</v>
      </c>
      <c r="T143" s="12" t="n">
        <v>2480</v>
      </c>
      <c r="U143" s="12" t="n">
        <v>64972.46</v>
      </c>
      <c r="V143" s="12" t="n">
        <v>11940</v>
      </c>
      <c r="W143" s="12" t="n">
        <v>69405.8</v>
      </c>
      <c r="X143" s="12" t="n">
        <v>12815</v>
      </c>
      <c r="Y143" s="12" t="n">
        <v>132710.72</v>
      </c>
      <c r="Z143" s="12" t="n">
        <v>24150</v>
      </c>
      <c r="AA143" s="12" t="n">
        <v>125729.54</v>
      </c>
      <c r="AB143" s="12" t="n">
        <v>23982.9</v>
      </c>
      <c r="AC143" s="12" t="n">
        <v>85422.67999999999</v>
      </c>
      <c r="AD143" s="12" t="n">
        <v>16755</v>
      </c>
      <c r="AE143" s="13">
        <f>SUM(C143,E143,G143,I143,K143,M143,O143,Q143,S143,U143,W143,Y143,AA143,AC143)</f>
        <v/>
      </c>
      <c r="AF143" s="13">
        <f>SUM(D143,F143,H143,J143,L143,N143,P143,R143,T143,V143,X143,Z143,AB143,AD143)</f>
        <v/>
      </c>
      <c r="AG143" s="13">
        <f>AE143+AF143</f>
        <v/>
      </c>
    </row>
    <row r="144">
      <c r="A144" s="5" t="n">
        <v>139</v>
      </c>
      <c r="B144" s="27" t="inlineStr">
        <is>
          <t>Karabük</t>
        </is>
      </c>
      <c r="C144" s="7" t="n">
        <v>26182.87</v>
      </c>
      <c r="D144" s="7" t="n">
        <v>49658.207</v>
      </c>
      <c r="E144" s="7" t="n">
        <v>25026.718</v>
      </c>
      <c r="F144" s="7" t="n">
        <v>12349.401</v>
      </c>
      <c r="G144" s="7" t="n">
        <v>6447.808</v>
      </c>
      <c r="H144" s="7" t="n">
        <v>9394.161</v>
      </c>
      <c r="I144" s="7" t="n">
        <v>24252.128</v>
      </c>
      <c r="J144" s="7" t="n">
        <v>9541.304</v>
      </c>
      <c r="K144" s="7" t="n">
        <v>20166.733</v>
      </c>
      <c r="L144" s="7" t="n">
        <v>11474.906</v>
      </c>
      <c r="M144" s="7" t="n">
        <v>17252.666</v>
      </c>
      <c r="N144" s="7" t="n">
        <v>11303.556</v>
      </c>
      <c r="O144" s="7" t="n">
        <v>19720.865</v>
      </c>
      <c r="P144" s="7" t="n">
        <v>11364.15</v>
      </c>
      <c r="Q144" s="7" t="n">
        <v>7123.192</v>
      </c>
      <c r="R144" s="7" t="n">
        <v>11271.03</v>
      </c>
      <c r="S144" s="7" t="n">
        <v>6679.802</v>
      </c>
      <c r="T144" s="7" t="n">
        <v>10556.443</v>
      </c>
      <c r="U144" s="7" t="n">
        <v>6103.466</v>
      </c>
      <c r="V144" s="7" t="n">
        <v>15962.949</v>
      </c>
      <c r="W144" s="7" t="n">
        <v>13079.953</v>
      </c>
      <c r="X144" s="7" t="n">
        <v>14491.849</v>
      </c>
      <c r="Y144" s="7" t="n">
        <v>18570.565</v>
      </c>
      <c r="Z144" s="7" t="n">
        <v>43136.796</v>
      </c>
      <c r="AA144" s="7" t="n">
        <v>15472.475</v>
      </c>
      <c r="AB144" s="7" t="n">
        <v>69453.75999999999</v>
      </c>
      <c r="AC144" s="7" t="n">
        <v>18766.462</v>
      </c>
      <c r="AD144" s="7" t="n">
        <v>68863.735</v>
      </c>
      <c r="AE144" s="8">
        <f>SUM(C144,E144,G144,I144,K144,M144,O144,Q144,S144,U144,W144,Y144,AA144,AC144)</f>
        <v/>
      </c>
      <c r="AF144" s="8">
        <f>SUM(D144,F144,H144,J144,L144,N144,P144,R144,T144,V144,X144,Z144,AB144,AD144)</f>
        <v/>
      </c>
      <c r="AG144" s="8">
        <f>AE144+AF144</f>
        <v/>
      </c>
    </row>
    <row r="145">
      <c r="A145" s="10" t="n">
        <v>140</v>
      </c>
      <c r="B145" s="28" t="inlineStr">
        <is>
          <t>Ilıca</t>
        </is>
      </c>
      <c r="C145" s="12" t="n">
        <v>21161.048</v>
      </c>
      <c r="D145" s="12" t="n">
        <v>5594.034</v>
      </c>
      <c r="E145" s="12" t="n">
        <v>138976.43</v>
      </c>
      <c r="F145" s="12" t="n">
        <v>4393.897</v>
      </c>
      <c r="G145" s="12" t="n">
        <v>57193.631</v>
      </c>
      <c r="H145" s="12" t="n">
        <v>11419.132</v>
      </c>
      <c r="I145" s="12" t="n">
        <v>72212.467</v>
      </c>
      <c r="J145" s="12" t="n">
        <v>9872.092000000001</v>
      </c>
      <c r="K145" s="12" t="n">
        <v>50265.863</v>
      </c>
      <c r="L145" s="12" t="n">
        <v>31702.078</v>
      </c>
      <c r="M145" s="12" t="n">
        <v>43686.147</v>
      </c>
      <c r="N145" s="12" t="n">
        <v>27765.678</v>
      </c>
      <c r="O145" s="12" t="n">
        <v>4663.78</v>
      </c>
      <c r="P145" s="12" t="n">
        <v>4579.97</v>
      </c>
      <c r="Q145" s="12" t="n">
        <v>973.28</v>
      </c>
      <c r="R145" s="12" t="n">
        <v>2297.65</v>
      </c>
      <c r="S145" s="12" t="n">
        <v>2688.995</v>
      </c>
      <c r="T145" s="12" t="n">
        <v>5659.9</v>
      </c>
      <c r="U145" s="12" t="n">
        <v>5319.08</v>
      </c>
      <c r="V145" s="12" t="n">
        <v>9656.039000000001</v>
      </c>
      <c r="W145" s="12" t="n">
        <v>5863.755</v>
      </c>
      <c r="X145" s="12" t="n">
        <v>12240.712</v>
      </c>
      <c r="Y145" s="12" t="n">
        <v>7340.885</v>
      </c>
      <c r="Z145" s="12" t="n">
        <v>15294.231</v>
      </c>
      <c r="AA145" s="12" t="n">
        <v>3733.005</v>
      </c>
      <c r="AB145" s="12" t="n">
        <v>6087.5</v>
      </c>
      <c r="AC145" s="12" t="n">
        <v>4200.235</v>
      </c>
      <c r="AD145" s="12" t="n">
        <v>8579.709999999999</v>
      </c>
      <c r="AE145" s="13">
        <f>SUM(C145,E145,G145,I145,K145,M145,O145,Q145,S145,U145,W145,Y145,AA145,AC145)</f>
        <v/>
      </c>
      <c r="AF145" s="13">
        <f>SUM(D145,F145,H145,J145,L145,N145,P145,R145,T145,V145,X145,Z145,AB145,AD145)</f>
        <v/>
      </c>
      <c r="AG145" s="13">
        <f>AE145+AF145</f>
        <v/>
      </c>
    </row>
    <row r="146">
      <c r="A146" s="5" t="n">
        <v>141</v>
      </c>
      <c r="B146" s="27" t="inlineStr">
        <is>
          <t>Hasançelebi</t>
        </is>
      </c>
      <c r="C146" s="7" t="n"/>
      <c r="D146" s="7" t="n"/>
      <c r="E146" s="7" t="n"/>
      <c r="F146" s="7" t="n"/>
      <c r="G146" s="7" t="n"/>
      <c r="H146" s="7" t="n"/>
      <c r="I146" s="7" t="n"/>
      <c r="J146" s="7" t="n"/>
      <c r="K146" s="7" t="n"/>
      <c r="L146" s="7" t="n"/>
      <c r="M146" s="7" t="n"/>
      <c r="N146" s="7" t="n"/>
      <c r="O146" s="7" t="n"/>
      <c r="P146" s="7" t="n"/>
      <c r="Q146" s="7" t="n"/>
      <c r="R146" s="7" t="n"/>
      <c r="S146" s="7" t="n">
        <v>319874.26</v>
      </c>
      <c r="T146" s="7" t="n"/>
      <c r="U146" s="7" t="n">
        <v>134315.2</v>
      </c>
      <c r="V146" s="7" t="n"/>
      <c r="W146" s="7" t="n">
        <v>97923.14999999999</v>
      </c>
      <c r="X146" s="7" t="n"/>
      <c r="Y146" s="7" t="n"/>
      <c r="Z146" s="7" t="n"/>
      <c r="AA146" s="7" t="n"/>
      <c r="AB146" s="7" t="n">
        <v>15</v>
      </c>
      <c r="AC146" s="7" t="n"/>
      <c r="AD146" s="7" t="n"/>
      <c r="AE146" s="8">
        <f>SUM(C146,E146,G146,I146,K146,M146,O146,Q146,S146,U146,W146,Y146,AA146,AC146)</f>
        <v/>
      </c>
      <c r="AF146" s="8">
        <f>SUM(D146,F146,H146,J146,L146,N146,P146,R146,T146,V146,X146,Z146,AB146,AD146)</f>
        <v/>
      </c>
      <c r="AG146" s="8">
        <f>AE146+AF146</f>
        <v/>
      </c>
    </row>
    <row r="147">
      <c r="A147" s="10" t="n">
        <v>142</v>
      </c>
      <c r="B147" s="28" t="inlineStr">
        <is>
          <t>Hüyük</t>
        </is>
      </c>
      <c r="C147" s="12" t="n">
        <v>20</v>
      </c>
      <c r="D147" s="12" t="n">
        <v>60</v>
      </c>
      <c r="E147" s="12" t="n"/>
      <c r="F147" s="12" t="n">
        <v>305.948</v>
      </c>
      <c r="G147" s="12" t="n">
        <v>0</v>
      </c>
      <c r="H147" s="12" t="n">
        <v>308.603</v>
      </c>
      <c r="I147" s="12" t="n">
        <v>8</v>
      </c>
      <c r="J147" s="12" t="n">
        <v>139.17</v>
      </c>
      <c r="K147" s="12" t="n"/>
      <c r="L147" s="12" t="n"/>
      <c r="M147" s="12" t="n"/>
      <c r="N147" s="12" t="n"/>
      <c r="O147" s="12" t="n">
        <v>257139</v>
      </c>
      <c r="P147" s="12" t="n"/>
      <c r="Q147" s="12" t="n">
        <v>240422</v>
      </c>
      <c r="R147" s="12" t="n">
        <v>90</v>
      </c>
      <c r="S147" s="12" t="n"/>
      <c r="T147" s="12" t="n"/>
      <c r="U147" s="12" t="n"/>
      <c r="V147" s="12" t="n"/>
      <c r="W147" s="12" t="n"/>
      <c r="X147" s="12" t="n"/>
      <c r="Y147" s="12" t="n">
        <v>4877.765</v>
      </c>
      <c r="Z147" s="12" t="n"/>
      <c r="AA147" s="12" t="n">
        <v>1994.727</v>
      </c>
      <c r="AB147" s="12" t="n">
        <v>861.1799999999999</v>
      </c>
      <c r="AC147" s="12" t="n"/>
      <c r="AD147" s="12" t="n">
        <v>26460</v>
      </c>
      <c r="AE147" s="13">
        <f>SUM(C147,E147,G147,I147,K147,M147,O147,Q147,S147,U147,W147,Y147,AA147,AC147)</f>
        <v/>
      </c>
      <c r="AF147" s="13">
        <f>SUM(D147,F147,H147,J147,L147,N147,P147,R147,T147,V147,X147,Z147,AB147,AD147)</f>
        <v/>
      </c>
      <c r="AG147" s="13">
        <f>AE147+AF147</f>
        <v/>
      </c>
    </row>
    <row r="148">
      <c r="A148" s="5" t="n">
        <v>143</v>
      </c>
      <c r="B148" s="27" t="inlineStr">
        <is>
          <t>Banaz</t>
        </is>
      </c>
      <c r="C148" s="7" t="n">
        <v>28</v>
      </c>
      <c r="D148" s="7" t="n">
        <v>121175.48</v>
      </c>
      <c r="E148" s="7" t="n">
        <v>3028.7</v>
      </c>
      <c r="F148" s="7" t="n">
        <v>53023</v>
      </c>
      <c r="G148" s="7" t="n"/>
      <c r="H148" s="7" t="n">
        <v>5629.2</v>
      </c>
      <c r="I148" s="7" t="n">
        <v>287</v>
      </c>
      <c r="J148" s="7" t="n">
        <v>24308</v>
      </c>
      <c r="K148" s="7" t="n">
        <v>4819.59</v>
      </c>
      <c r="L148" s="7" t="n">
        <v>28535.21</v>
      </c>
      <c r="M148" s="7" t="n">
        <v>11410</v>
      </c>
      <c r="N148" s="7" t="n">
        <v>63508.699</v>
      </c>
      <c r="O148" s="7" t="n">
        <v>16198.25</v>
      </c>
      <c r="P148" s="7" t="n">
        <v>93089.27</v>
      </c>
      <c r="Q148" s="7" t="n">
        <v>12561.14</v>
      </c>
      <c r="R148" s="7" t="n">
        <v>71040.73</v>
      </c>
      <c r="S148" s="7" t="n">
        <v>105</v>
      </c>
      <c r="T148" s="7" t="n">
        <v>21.5</v>
      </c>
      <c r="U148" s="7" t="n"/>
      <c r="V148" s="7" t="n">
        <v>10</v>
      </c>
      <c r="W148" s="7" t="n"/>
      <c r="X148" s="7" t="n"/>
      <c r="Y148" s="7" t="n"/>
      <c r="Z148" s="7" t="n"/>
      <c r="AA148" s="7" t="n">
        <v>0</v>
      </c>
      <c r="AB148" s="7" t="n"/>
      <c r="AC148" s="7" t="n"/>
      <c r="AD148" s="7" t="n"/>
      <c r="AE148" s="8">
        <f>SUM(C148,E148,G148,I148,K148,M148,O148,Q148,S148,U148,W148,Y148,AA148,AC148)</f>
        <v/>
      </c>
      <c r="AF148" s="8">
        <f>SUM(D148,F148,H148,J148,L148,N148,P148,R148,T148,V148,X148,Z148,AB148,AD148)</f>
        <v/>
      </c>
      <c r="AG148" s="8">
        <f>AE148+AF148</f>
        <v/>
      </c>
    </row>
    <row r="149">
      <c r="A149" s="10" t="n">
        <v>144</v>
      </c>
      <c r="B149" s="28" t="inlineStr">
        <is>
          <t>Sincan</t>
        </is>
      </c>
      <c r="C149" s="12" t="n">
        <v>17675.475</v>
      </c>
      <c r="D149" s="12" t="n">
        <v>36721.95</v>
      </c>
      <c r="E149" s="12" t="n">
        <v>21361.205</v>
      </c>
      <c r="F149" s="12" t="n">
        <v>47362.905</v>
      </c>
      <c r="G149" s="12" t="n">
        <v>18401.53</v>
      </c>
      <c r="H149" s="12" t="n">
        <v>38213.65</v>
      </c>
      <c r="I149" s="12" t="n">
        <v>13381.415</v>
      </c>
      <c r="J149" s="12" t="n">
        <v>27781.861</v>
      </c>
      <c r="K149" s="12" t="n">
        <v>12403.155</v>
      </c>
      <c r="L149" s="12" t="n">
        <v>16287.145</v>
      </c>
      <c r="M149" s="12" t="n">
        <v>13634.385</v>
      </c>
      <c r="N149" s="12" t="n">
        <v>21239.768</v>
      </c>
      <c r="O149" s="12" t="n">
        <v>8279.440000000001</v>
      </c>
      <c r="P149" s="12" t="n">
        <v>17112.49</v>
      </c>
      <c r="Q149" s="12" t="n">
        <v>10052.4</v>
      </c>
      <c r="R149" s="12" t="n">
        <v>20367.604</v>
      </c>
      <c r="S149" s="12" t="n">
        <v>6254.125</v>
      </c>
      <c r="T149" s="12" t="n">
        <v>12714.231</v>
      </c>
      <c r="U149" s="12" t="n">
        <v>11710.01</v>
      </c>
      <c r="V149" s="12" t="n">
        <v>23723.936</v>
      </c>
      <c r="W149" s="12" t="n">
        <v>10773.225</v>
      </c>
      <c r="X149" s="12" t="n">
        <v>22026.843</v>
      </c>
      <c r="Y149" s="12" t="n">
        <v>8908.934999999999</v>
      </c>
      <c r="Z149" s="12" t="n">
        <v>21663.011</v>
      </c>
      <c r="AA149" s="12" t="n">
        <v>9285.334999999999</v>
      </c>
      <c r="AB149" s="12" t="n">
        <v>20181.7</v>
      </c>
      <c r="AC149" s="12" t="n">
        <v>6434.645</v>
      </c>
      <c r="AD149" s="12" t="n">
        <v>13887.21</v>
      </c>
      <c r="AE149" s="13">
        <f>SUM(C149,E149,G149,I149,K149,M149,O149,Q149,S149,U149,W149,Y149,AA149,AC149)</f>
        <v/>
      </c>
      <c r="AF149" s="13">
        <f>SUM(D149,F149,H149,J149,L149,N149,P149,R149,T149,V149,X149,Z149,AB149,AD149)</f>
        <v/>
      </c>
      <c r="AG149" s="13">
        <f>AE149+AF149</f>
        <v/>
      </c>
    </row>
    <row r="150">
      <c r="A150" s="5" t="n">
        <v>145</v>
      </c>
      <c r="B150" s="27" t="inlineStr">
        <is>
          <t>Nusrat</t>
        </is>
      </c>
      <c r="C150" s="7" t="n">
        <v>158882.28</v>
      </c>
      <c r="D150" s="7" t="n">
        <v>49338.829</v>
      </c>
      <c r="E150" s="7" t="n">
        <v>74649.2</v>
      </c>
      <c r="F150" s="7" t="n">
        <v>20616.5</v>
      </c>
      <c r="G150" s="7" t="n">
        <v>69162.39999999999</v>
      </c>
      <c r="H150" s="7" t="n">
        <v>33997.175</v>
      </c>
      <c r="I150" s="7" t="n">
        <v>591.2</v>
      </c>
      <c r="J150" s="7" t="n">
        <v>46049.19</v>
      </c>
      <c r="K150" s="7" t="n">
        <v>26358.76</v>
      </c>
      <c r="L150" s="7" t="n">
        <v>10422.655</v>
      </c>
      <c r="M150" s="7" t="n"/>
      <c r="N150" s="7" t="n">
        <v>2891.985</v>
      </c>
      <c r="O150" s="7" t="n"/>
      <c r="P150" s="7" t="n">
        <v>53.4</v>
      </c>
      <c r="Q150" s="7" t="n">
        <v>10542</v>
      </c>
      <c r="R150" s="7" t="n"/>
      <c r="S150" s="7" t="n"/>
      <c r="T150" s="7" t="n"/>
      <c r="U150" s="7" t="n"/>
      <c r="V150" s="7" t="n"/>
      <c r="W150" s="7" t="n"/>
      <c r="X150" s="7" t="n"/>
      <c r="Y150" s="7" t="n"/>
      <c r="Z150" s="7" t="n"/>
      <c r="AA150" s="7" t="n"/>
      <c r="AB150" s="7" t="n"/>
      <c r="AC150" s="7" t="n"/>
      <c r="AD150" s="7" t="n"/>
      <c r="AE150" s="8">
        <f>SUM(C150,E150,G150,I150,K150,M150,O150,Q150,S150,U150,W150,Y150,AA150,AC150)</f>
        <v/>
      </c>
      <c r="AF150" s="8">
        <f>SUM(D150,F150,H150,J150,L150,N150,P150,R150,T150,V150,X150,Z150,AB150,AD150)</f>
        <v/>
      </c>
      <c r="AG150" s="8">
        <f>AE150+AF150</f>
        <v/>
      </c>
    </row>
    <row r="151">
      <c r="A151" s="10" t="n">
        <v>146</v>
      </c>
      <c r="B151" s="28" t="inlineStr">
        <is>
          <t>Tekirdağ Liman</t>
        </is>
      </c>
      <c r="C151" s="12" t="n">
        <v>42852.111</v>
      </c>
      <c r="D151" s="12" t="n">
        <v>69469.209</v>
      </c>
      <c r="E151" s="12" t="n">
        <v>67395.955</v>
      </c>
      <c r="F151" s="12" t="n">
        <v>75832.393</v>
      </c>
      <c r="G151" s="12" t="n">
        <v>59798.032</v>
      </c>
      <c r="H151" s="12" t="n">
        <v>55194.869</v>
      </c>
      <c r="I151" s="12" t="n">
        <v>30853.088</v>
      </c>
      <c r="J151" s="12" t="n">
        <v>24730.049</v>
      </c>
      <c r="K151" s="12" t="n">
        <v>3134.229</v>
      </c>
      <c r="L151" s="12" t="n">
        <v>2105.914</v>
      </c>
      <c r="M151" s="12" t="n">
        <v>2949.08</v>
      </c>
      <c r="N151" s="12" t="n">
        <v>1483.152</v>
      </c>
      <c r="O151" s="12" t="n">
        <v>2884.742</v>
      </c>
      <c r="P151" s="12" t="n">
        <v>574.605</v>
      </c>
      <c r="Q151" s="12" t="n">
        <v>4883.885</v>
      </c>
      <c r="R151" s="12" t="n">
        <v>12310.2</v>
      </c>
      <c r="S151" s="12" t="n">
        <v>3625.8</v>
      </c>
      <c r="T151" s="12" t="n">
        <v>4466.14</v>
      </c>
      <c r="U151" s="12" t="n">
        <v>3056.3</v>
      </c>
      <c r="V151" s="12" t="n">
        <v>2537.934</v>
      </c>
      <c r="W151" s="12" t="n">
        <v>6510.906</v>
      </c>
      <c r="X151" s="12" t="n">
        <v>2227.66</v>
      </c>
      <c r="Y151" s="12" t="n"/>
      <c r="Z151" s="12" t="n">
        <v>660.121</v>
      </c>
      <c r="AA151" s="12" t="n">
        <v>1300.508</v>
      </c>
      <c r="AB151" s="12" t="n"/>
      <c r="AC151" s="12" t="n"/>
      <c r="AD151" s="12" t="n"/>
      <c r="AE151" s="13">
        <f>SUM(C151,E151,G151,I151,K151,M151,O151,Q151,S151,U151,W151,Y151,AA151,AC151)</f>
        <v/>
      </c>
      <c r="AF151" s="13">
        <f>SUM(D151,F151,H151,J151,L151,N151,P151,R151,T151,V151,X151,Z151,AB151,AD151)</f>
        <v/>
      </c>
      <c r="AG151" s="13">
        <f>AE151+AF151</f>
        <v/>
      </c>
    </row>
    <row r="152">
      <c r="A152" s="5" t="n">
        <v>147</v>
      </c>
      <c r="B152" s="27" t="inlineStr">
        <is>
          <t>Mardin</t>
        </is>
      </c>
      <c r="C152" s="7" t="n">
        <v>43173.8</v>
      </c>
      <c r="D152" s="7" t="n">
        <v>231952.275</v>
      </c>
      <c r="E152" s="7" t="n">
        <v>46137.83</v>
      </c>
      <c r="F152" s="7" t="n">
        <v>158598.999</v>
      </c>
      <c r="G152" s="7" t="n">
        <v>0</v>
      </c>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v>184</v>
      </c>
      <c r="AD152" s="7" t="n">
        <v>500</v>
      </c>
      <c r="AE152" s="8">
        <f>SUM(C152,E152,G152,I152,K152,M152,O152,Q152,S152,U152,W152,Y152,AA152,AC152)</f>
        <v/>
      </c>
      <c r="AF152" s="8">
        <f>SUM(D152,F152,H152,J152,L152,N152,P152,R152,T152,V152,X152,Z152,AB152,AD152)</f>
        <v/>
      </c>
      <c r="AG152" s="8">
        <f>AE152+AF152</f>
        <v/>
      </c>
    </row>
    <row r="153">
      <c r="A153" s="10" t="n">
        <v>148</v>
      </c>
      <c r="B153" s="28" t="inlineStr">
        <is>
          <t>Başköy</t>
        </is>
      </c>
      <c r="C153" s="12" t="n">
        <v>172048.8</v>
      </c>
      <c r="D153" s="12" t="n"/>
      <c r="E153" s="12" t="n">
        <v>133631.4</v>
      </c>
      <c r="F153" s="12" t="n"/>
      <c r="G153" s="12" t="n"/>
      <c r="H153" s="12" t="n"/>
      <c r="I153" s="12" t="n">
        <v>420</v>
      </c>
      <c r="J153" s="12" t="n"/>
      <c r="K153" s="12" t="n">
        <v>1701.4</v>
      </c>
      <c r="L153" s="12" t="n">
        <v>390</v>
      </c>
      <c r="M153" s="12" t="n">
        <v>18947.679</v>
      </c>
      <c r="N153" s="12" t="n"/>
      <c r="O153" s="12" t="n">
        <v>28813.547</v>
      </c>
      <c r="P153" s="12" t="n">
        <v>382.5</v>
      </c>
      <c r="Q153" s="12" t="n">
        <v>47402.366</v>
      </c>
      <c r="R153" s="12" t="n"/>
      <c r="S153" s="12" t="n">
        <v>18564.82</v>
      </c>
      <c r="T153" s="12" t="n"/>
      <c r="U153" s="12" t="n"/>
      <c r="V153" s="12" t="n">
        <v>240</v>
      </c>
      <c r="W153" s="12" t="n"/>
      <c r="X153" s="12" t="n"/>
      <c r="Y153" s="12" t="n">
        <v>33171.39</v>
      </c>
      <c r="Z153" s="12" t="n">
        <v>7415</v>
      </c>
      <c r="AA153" s="12" t="n">
        <v>1000</v>
      </c>
      <c r="AB153" s="12" t="n">
        <v>1885</v>
      </c>
      <c r="AC153" s="12" t="n">
        <v>1391</v>
      </c>
      <c r="AD153" s="12" t="n">
        <v>1642</v>
      </c>
      <c r="AE153" s="13">
        <f>SUM(C153,E153,G153,I153,K153,M153,O153,Q153,S153,U153,W153,Y153,AA153,AC153)</f>
        <v/>
      </c>
      <c r="AF153" s="13">
        <f>SUM(D153,F153,H153,J153,L153,N153,P153,R153,T153,V153,X153,Z153,AB153,AD153)</f>
        <v/>
      </c>
      <c r="AG153" s="13">
        <f>AE153+AF153</f>
        <v/>
      </c>
    </row>
    <row r="154">
      <c r="A154" s="5" t="n">
        <v>149</v>
      </c>
      <c r="B154" s="27" t="inlineStr">
        <is>
          <t>Kahramanmaraş</t>
        </is>
      </c>
      <c r="C154" s="7" t="n">
        <v>7278.42</v>
      </c>
      <c r="D154" s="7" t="n">
        <v>26848.9</v>
      </c>
      <c r="E154" s="7" t="n">
        <v>12341.67</v>
      </c>
      <c r="F154" s="7" t="n">
        <v>42996.75</v>
      </c>
      <c r="G154" s="7" t="n">
        <v>9592.905000000001</v>
      </c>
      <c r="H154" s="7" t="n">
        <v>44585.2</v>
      </c>
      <c r="I154" s="7" t="n">
        <v>5069.885</v>
      </c>
      <c r="J154" s="7" t="n">
        <v>60731.865</v>
      </c>
      <c r="K154" s="7" t="n">
        <v>4728.415</v>
      </c>
      <c r="L154" s="7" t="n">
        <v>35711.09</v>
      </c>
      <c r="M154" s="7" t="n">
        <v>9319.33</v>
      </c>
      <c r="N154" s="7" t="n">
        <v>53535.435</v>
      </c>
      <c r="O154" s="7" t="n">
        <v>1945.125</v>
      </c>
      <c r="P154" s="7" t="n">
        <v>32694.7</v>
      </c>
      <c r="Q154" s="7" t="n">
        <v>931.26</v>
      </c>
      <c r="R154" s="7" t="n">
        <v>31366.6</v>
      </c>
      <c r="S154" s="7" t="n">
        <v>289.8</v>
      </c>
      <c r="T154" s="7" t="n">
        <v>31561.24</v>
      </c>
      <c r="U154" s="7" t="n">
        <v>660.785</v>
      </c>
      <c r="V154" s="7" t="n">
        <v>40119.65</v>
      </c>
      <c r="W154" s="7" t="n">
        <v>1847.65</v>
      </c>
      <c r="X154" s="7" t="n">
        <v>4707</v>
      </c>
      <c r="Y154" s="7" t="n"/>
      <c r="Z154" s="7" t="n"/>
      <c r="AA154" s="7" t="n"/>
      <c r="AB154" s="7" t="n"/>
      <c r="AC154" s="7" t="n"/>
      <c r="AD154" s="7" t="n"/>
      <c r="AE154" s="8">
        <f>SUM(C154,E154,G154,I154,K154,M154,O154,Q154,S154,U154,W154,Y154,AA154,AC154)</f>
        <v/>
      </c>
      <c r="AF154" s="8">
        <f>SUM(D154,F154,H154,J154,L154,N154,P154,R154,T154,V154,X154,Z154,AB154,AD154)</f>
        <v/>
      </c>
      <c r="AG154" s="8">
        <f>AE154+AF154</f>
        <v/>
      </c>
    </row>
    <row r="155">
      <c r="A155" s="10" t="n">
        <v>150</v>
      </c>
      <c r="B155" s="28" t="inlineStr">
        <is>
          <t>Bahçe</t>
        </is>
      </c>
      <c r="C155" s="12" t="n">
        <v>531.6799999999999</v>
      </c>
      <c r="D155" s="12" t="n">
        <v>6719.92</v>
      </c>
      <c r="E155" s="12" t="n">
        <v>336.184</v>
      </c>
      <c r="F155" s="12" t="n">
        <v>8219</v>
      </c>
      <c r="G155" s="12" t="n">
        <v>50784.098</v>
      </c>
      <c r="H155" s="12" t="n">
        <v>135012.2</v>
      </c>
      <c r="I155" s="12" t="n">
        <v>1100</v>
      </c>
      <c r="J155" s="12" t="n">
        <v>23954</v>
      </c>
      <c r="K155" s="12" t="n">
        <v>57239.58</v>
      </c>
      <c r="L155" s="12" t="n">
        <v>29048.275</v>
      </c>
      <c r="M155" s="12" t="n">
        <v>16376.8</v>
      </c>
      <c r="N155" s="12" t="n">
        <v>29385.66</v>
      </c>
      <c r="O155" s="12" t="n">
        <v>6981.77</v>
      </c>
      <c r="P155" s="12" t="n">
        <v>22983.66</v>
      </c>
      <c r="Q155" s="12" t="n">
        <v>3946.18</v>
      </c>
      <c r="R155" s="12" t="n">
        <v>6777.5</v>
      </c>
      <c r="S155" s="12" t="n">
        <v>3954.085</v>
      </c>
      <c r="T155" s="12" t="n">
        <v>9975</v>
      </c>
      <c r="U155" s="12" t="n">
        <v>2969.59</v>
      </c>
      <c r="V155" s="12" t="n">
        <v>21709.36</v>
      </c>
      <c r="W155" s="12" t="n">
        <v>7052.29</v>
      </c>
      <c r="X155" s="12" t="n">
        <v>7607.14</v>
      </c>
      <c r="Y155" s="12" t="n"/>
      <c r="Z155" s="12" t="n"/>
      <c r="AA155" s="12" t="n"/>
      <c r="AB155" s="12" t="n"/>
      <c r="AC155" s="12" t="n"/>
      <c r="AD155" s="12" t="n"/>
      <c r="AE155" s="13">
        <f>SUM(C155,E155,G155,I155,K155,M155,O155,Q155,S155,U155,W155,Y155,AA155,AC155)</f>
        <v/>
      </c>
      <c r="AF155" s="13">
        <f>SUM(D155,F155,H155,J155,L155,N155,P155,R155,T155,V155,X155,Z155,AB155,AD155)</f>
        <v/>
      </c>
      <c r="AG155" s="13">
        <f>AE155+AF155</f>
        <v/>
      </c>
    </row>
    <row r="156">
      <c r="A156" s="5" t="n">
        <v>151</v>
      </c>
      <c r="B156" s="27" t="inlineStr">
        <is>
          <t>Çerikli</t>
        </is>
      </c>
      <c r="C156" s="7" t="n">
        <v>130517.59</v>
      </c>
      <c r="D156" s="7" t="n">
        <v>12.7</v>
      </c>
      <c r="E156" s="7" t="n">
        <v>121326.07</v>
      </c>
      <c r="F156" s="7" t="n">
        <v>1605.668</v>
      </c>
      <c r="G156" s="7" t="n">
        <v>88391.7</v>
      </c>
      <c r="H156" s="7" t="n">
        <v>371.2</v>
      </c>
      <c r="I156" s="7" t="n">
        <v>32555.2</v>
      </c>
      <c r="J156" s="7" t="n">
        <v>2256.46</v>
      </c>
      <c r="K156" s="7" t="n">
        <v>1220.54</v>
      </c>
      <c r="L156" s="7" t="n">
        <v>1099.925</v>
      </c>
      <c r="M156" s="7" t="n">
        <v>516</v>
      </c>
      <c r="N156" s="7" t="n">
        <v>1072.65</v>
      </c>
      <c r="O156" s="7" t="n">
        <v>54976.15</v>
      </c>
      <c r="P156" s="7" t="n">
        <v>360</v>
      </c>
      <c r="Q156" s="7" t="n"/>
      <c r="R156" s="7" t="n"/>
      <c r="S156" s="7" t="n"/>
      <c r="T156" s="7" t="n"/>
      <c r="U156" s="7" t="n"/>
      <c r="V156" s="7" t="n"/>
      <c r="W156" s="7" t="n"/>
      <c r="X156" s="7" t="n"/>
      <c r="Y156" s="7" t="n"/>
      <c r="Z156" s="7" t="n"/>
      <c r="AA156" s="7" t="n"/>
      <c r="AB156" s="7" t="n"/>
      <c r="AC156" s="7" t="n">
        <v>481.6</v>
      </c>
      <c r="AD156" s="7" t="n">
        <v>2017</v>
      </c>
      <c r="AE156" s="8">
        <f>SUM(C156,E156,G156,I156,K156,M156,O156,Q156,S156,U156,W156,Y156,AA156,AC156)</f>
        <v/>
      </c>
      <c r="AF156" s="8">
        <f>SUM(D156,F156,H156,J156,L156,N156,P156,R156,T156,V156,X156,Z156,AB156,AD156)</f>
        <v/>
      </c>
      <c r="AG156" s="8">
        <f>AE156+AF156</f>
        <v/>
      </c>
    </row>
    <row r="157">
      <c r="A157" s="10" t="n">
        <v>152</v>
      </c>
      <c r="B157" s="28" t="inlineStr">
        <is>
          <t>İslahiye</t>
        </is>
      </c>
      <c r="C157" s="12" t="n">
        <v>12511.075</v>
      </c>
      <c r="D157" s="12" t="n">
        <v>11039.9</v>
      </c>
      <c r="E157" s="12" t="n">
        <v>1026.4</v>
      </c>
      <c r="F157" s="12" t="n">
        <v>2716.2</v>
      </c>
      <c r="G157" s="12" t="n">
        <v>35639.06</v>
      </c>
      <c r="H157" s="12" t="n">
        <v>19191.652</v>
      </c>
      <c r="I157" s="12" t="n">
        <v>21407.08</v>
      </c>
      <c r="J157" s="12" t="n">
        <v>24464.258</v>
      </c>
      <c r="K157" s="12" t="n">
        <v>7781.27</v>
      </c>
      <c r="L157" s="12" t="n">
        <v>10209.376</v>
      </c>
      <c r="M157" s="12" t="n">
        <v>9902.545</v>
      </c>
      <c r="N157" s="12" t="n">
        <v>10593.1</v>
      </c>
      <c r="O157" s="12" t="n">
        <v>1266.715</v>
      </c>
      <c r="P157" s="12" t="n">
        <v>5814.26</v>
      </c>
      <c r="Q157" s="12" t="n">
        <v>16</v>
      </c>
      <c r="R157" s="12" t="n">
        <v>11189.378</v>
      </c>
      <c r="S157" s="12" t="n">
        <v>215</v>
      </c>
      <c r="T157" s="12" t="n">
        <v>6787.31</v>
      </c>
      <c r="U157" s="12" t="n">
        <v>154532.505</v>
      </c>
      <c r="V157" s="12" t="n">
        <v>45659.05</v>
      </c>
      <c r="W157" s="12" t="n">
        <v>21465</v>
      </c>
      <c r="X157" s="12" t="n">
        <v>4738.105</v>
      </c>
      <c r="Y157" s="12" t="n"/>
      <c r="Z157" s="12" t="n"/>
      <c r="AA157" s="12" t="n"/>
      <c r="AB157" s="12" t="n"/>
      <c r="AC157" s="12" t="n">
        <v>3545.145</v>
      </c>
      <c r="AD157" s="12" t="n">
        <v>3024.02</v>
      </c>
      <c r="AE157" s="13">
        <f>SUM(C157,E157,G157,I157,K157,M157,O157,Q157,S157,U157,W157,Y157,AA157,AC157)</f>
        <v/>
      </c>
      <c r="AF157" s="13">
        <f>SUM(D157,F157,H157,J157,L157,N157,P157,R157,T157,V157,X157,Z157,AB157,AD157)</f>
        <v/>
      </c>
      <c r="AG157" s="13">
        <f>AE157+AF157</f>
        <v/>
      </c>
    </row>
    <row r="158">
      <c r="A158" s="5" t="n">
        <v>153</v>
      </c>
      <c r="B158" s="27" t="inlineStr">
        <is>
          <t>Dinar</t>
        </is>
      </c>
      <c r="C158" s="7" t="n">
        <v>1453.44</v>
      </c>
      <c r="D158" s="7" t="n">
        <v>2442.08</v>
      </c>
      <c r="E158" s="7" t="n">
        <v>5311.186</v>
      </c>
      <c r="F158" s="7" t="n">
        <v>150694.17</v>
      </c>
      <c r="G158" s="7" t="n">
        <v>7430.17</v>
      </c>
      <c r="H158" s="7" t="n">
        <v>33312.475</v>
      </c>
      <c r="I158" s="7" t="n">
        <v>11397.765</v>
      </c>
      <c r="J158" s="7" t="n">
        <v>16185.675</v>
      </c>
      <c r="K158" s="7" t="n">
        <v>9223.514999999999</v>
      </c>
      <c r="L158" s="7" t="n">
        <v>21563.735</v>
      </c>
      <c r="M158" s="7" t="n">
        <v>22582.105</v>
      </c>
      <c r="N158" s="7" t="n">
        <v>18548.355</v>
      </c>
      <c r="O158" s="7" t="n">
        <v>14088.51</v>
      </c>
      <c r="P158" s="7" t="n">
        <v>14421.11</v>
      </c>
      <c r="Q158" s="7" t="n">
        <v>11129.37</v>
      </c>
      <c r="R158" s="7" t="n">
        <v>6103.7</v>
      </c>
      <c r="S158" s="7" t="n">
        <v>8899.805</v>
      </c>
      <c r="T158" s="7" t="n">
        <v>9278.059999999999</v>
      </c>
      <c r="U158" s="7" t="n">
        <v>12021.765</v>
      </c>
      <c r="V158" s="7" t="n">
        <v>7695.17</v>
      </c>
      <c r="W158" s="7" t="n">
        <v>10337.27</v>
      </c>
      <c r="X158" s="7" t="n">
        <v>5349.83</v>
      </c>
      <c r="Y158" s="7" t="n">
        <v>3578.835</v>
      </c>
      <c r="Z158" s="7" t="n">
        <v>4726.775</v>
      </c>
      <c r="AA158" s="7" t="n">
        <v>4266.745</v>
      </c>
      <c r="AB158" s="7" t="n">
        <v>3299.82</v>
      </c>
      <c r="AC158" s="7" t="n">
        <v>2004.485</v>
      </c>
      <c r="AD158" s="7" t="n">
        <v>1850.565</v>
      </c>
      <c r="AE158" s="8">
        <f>SUM(C158,E158,G158,I158,K158,M158,O158,Q158,S158,U158,W158,Y158,AA158,AC158)</f>
        <v/>
      </c>
      <c r="AF158" s="8">
        <f>SUM(D158,F158,H158,J158,L158,N158,P158,R158,T158,V158,X158,Z158,AB158,AD158)</f>
        <v/>
      </c>
      <c r="AG158" s="8">
        <f>AE158+AF158</f>
        <v/>
      </c>
    </row>
    <row r="159">
      <c r="A159" s="10" t="n">
        <v>154</v>
      </c>
      <c r="B159" s="28" t="inlineStr">
        <is>
          <t>Marşandiz Batı HT(ANKARA) #</t>
        </is>
      </c>
      <c r="C159" s="12" t="n"/>
      <c r="D159" s="12" t="n"/>
      <c r="E159" s="12" t="n"/>
      <c r="F159" s="12" t="n"/>
      <c r="G159" s="12" t="n"/>
      <c r="H159" s="12" t="n"/>
      <c r="I159" s="12" t="n"/>
      <c r="J159" s="12" t="n"/>
      <c r="K159" s="12" t="n">
        <v>72648.18700000001</v>
      </c>
      <c r="L159" s="12" t="n">
        <v>176108.657</v>
      </c>
      <c r="M159" s="12" t="n">
        <v>61294.259</v>
      </c>
      <c r="N159" s="12" t="n">
        <v>103670.015</v>
      </c>
      <c r="O159" s="12" t="n"/>
      <c r="P159" s="12" t="n"/>
      <c r="Q159" s="12" t="n"/>
      <c r="R159" s="12" t="n"/>
      <c r="S159" s="12" t="n"/>
      <c r="T159" s="12" t="n"/>
      <c r="U159" s="12" t="n"/>
      <c r="V159" s="12" t="n"/>
      <c r="W159" s="12" t="n"/>
      <c r="X159" s="12" t="n"/>
      <c r="Y159" s="12" t="n"/>
      <c r="Z159" s="12" t="n"/>
      <c r="AA159" s="12" t="n"/>
      <c r="AB159" s="12" t="n"/>
      <c r="AC159" s="12" t="n"/>
      <c r="AD159" s="12" t="n"/>
      <c r="AE159" s="13">
        <f>SUM(C159,E159,G159,I159,K159,M159,O159,Q159,S159,U159,W159,Y159,AA159,AC159)</f>
        <v/>
      </c>
      <c r="AF159" s="13">
        <f>SUM(D159,F159,H159,J159,L159,N159,P159,R159,T159,V159,X159,Z159,AB159,AD159)</f>
        <v/>
      </c>
      <c r="AG159" s="13">
        <f>AE159+AF159</f>
        <v/>
      </c>
    </row>
    <row r="160">
      <c r="A160" s="5" t="n">
        <v>155</v>
      </c>
      <c r="B160" s="27" t="inlineStr">
        <is>
          <t>Ereğli</t>
        </is>
      </c>
      <c r="C160" s="7" t="n">
        <v>68935</v>
      </c>
      <c r="D160" s="7" t="n">
        <v>659</v>
      </c>
      <c r="E160" s="7" t="n">
        <v>42765.27</v>
      </c>
      <c r="F160" s="7" t="n">
        <v>4004.25</v>
      </c>
      <c r="G160" s="7" t="n">
        <v>1676.4</v>
      </c>
      <c r="H160" s="7" t="n">
        <v>797.15</v>
      </c>
      <c r="I160" s="7" t="n">
        <v>720</v>
      </c>
      <c r="J160" s="7" t="n">
        <v>357</v>
      </c>
      <c r="K160" s="7" t="n">
        <v>15052.11</v>
      </c>
      <c r="L160" s="7" t="n">
        <v>8828.190000000001</v>
      </c>
      <c r="M160" s="7" t="n">
        <v>47790.12</v>
      </c>
      <c r="N160" s="7" t="n">
        <v>29178.03</v>
      </c>
      <c r="O160" s="7" t="n">
        <v>81670.345</v>
      </c>
      <c r="P160" s="7" t="n">
        <v>39431.655</v>
      </c>
      <c r="Q160" s="7" t="n">
        <v>14691.975</v>
      </c>
      <c r="R160" s="7" t="n">
        <v>31670.29</v>
      </c>
      <c r="S160" s="7" t="n">
        <v>961.39</v>
      </c>
      <c r="T160" s="7" t="n">
        <v>3678.285</v>
      </c>
      <c r="U160" s="7" t="n">
        <v>1180.1</v>
      </c>
      <c r="V160" s="7" t="n">
        <v>1539.28</v>
      </c>
      <c r="W160" s="7" t="n">
        <v>218.83</v>
      </c>
      <c r="X160" s="7" t="n">
        <v>151.235</v>
      </c>
      <c r="Y160" s="7" t="n">
        <v>34.74</v>
      </c>
      <c r="Z160" s="7" t="n">
        <v>8400.280000000001</v>
      </c>
      <c r="AA160" s="7" t="n">
        <v>2640</v>
      </c>
      <c r="AB160" s="7" t="n">
        <v>3996.2</v>
      </c>
      <c r="AC160" s="7" t="n">
        <v>1030.5</v>
      </c>
      <c r="AD160" s="7" t="n">
        <v>965.5</v>
      </c>
      <c r="AE160" s="8">
        <f>SUM(C160,E160,G160,I160,K160,M160,O160,Q160,S160,U160,W160,Y160,AA160,AC160)</f>
        <v/>
      </c>
      <c r="AF160" s="8">
        <f>SUM(D160,F160,H160,J160,L160,N160,P160,R160,T160,V160,X160,Z160,AB160,AD160)</f>
        <v/>
      </c>
      <c r="AG160" s="8">
        <f>AE160+AF160</f>
        <v/>
      </c>
    </row>
    <row r="161">
      <c r="A161" s="10" t="n">
        <v>156</v>
      </c>
      <c r="B161" s="28" t="inlineStr">
        <is>
          <t>Sanayi</t>
        </is>
      </c>
      <c r="C161" s="12" t="n">
        <v>23988.25</v>
      </c>
      <c r="D161" s="12" t="n">
        <v>20141.15</v>
      </c>
      <c r="E161" s="12" t="n">
        <v>23365.955</v>
      </c>
      <c r="F161" s="12" t="n">
        <v>23539.437</v>
      </c>
      <c r="G161" s="12" t="n">
        <v>70132.03999999999</v>
      </c>
      <c r="H161" s="12" t="n">
        <v>24890.788</v>
      </c>
      <c r="I161" s="12" t="n">
        <v>91542.42999999999</v>
      </c>
      <c r="J161" s="12" t="n">
        <v>53445.085</v>
      </c>
      <c r="K161" s="12" t="n">
        <v>20532.599</v>
      </c>
      <c r="L161" s="12" t="n">
        <v>47544.427</v>
      </c>
      <c r="M161" s="12" t="n">
        <v>915.251</v>
      </c>
      <c r="N161" s="12" t="n">
        <v>1240.221</v>
      </c>
      <c r="O161" s="12" t="n"/>
      <c r="P161" s="12" t="n">
        <v>65.7</v>
      </c>
      <c r="Q161" s="12" t="n"/>
      <c r="R161" s="12" t="n">
        <v>1036.73</v>
      </c>
      <c r="S161" s="12" t="n"/>
      <c r="T161" s="12" t="n">
        <v>93.125</v>
      </c>
      <c r="U161" s="12" t="n"/>
      <c r="V161" s="12" t="n"/>
      <c r="W161" s="12" t="n"/>
      <c r="X161" s="12" t="n"/>
      <c r="Y161" s="12" t="n"/>
      <c r="Z161" s="12" t="n">
        <v>419</v>
      </c>
      <c r="AA161" s="12" t="n">
        <v>21.2</v>
      </c>
      <c r="AB161" s="12" t="n">
        <v>314.83</v>
      </c>
      <c r="AC161" s="12" t="n"/>
      <c r="AD161" s="12" t="n"/>
      <c r="AE161" s="13">
        <f>SUM(C161,E161,G161,I161,K161,M161,O161,Q161,S161,U161,W161,Y161,AA161,AC161)</f>
        <v/>
      </c>
      <c r="AF161" s="13">
        <f>SUM(D161,F161,H161,J161,L161,N161,P161,R161,T161,V161,X161,Z161,AB161,AD161)</f>
        <v/>
      </c>
      <c r="AG161" s="13">
        <f>AE161+AF161</f>
        <v/>
      </c>
    </row>
    <row r="162">
      <c r="A162" s="5" t="n">
        <v>157</v>
      </c>
      <c r="B162" s="27" t="inlineStr">
        <is>
          <t>Gaziantep</t>
        </is>
      </c>
      <c r="C162" s="7" t="n">
        <v>7899.815</v>
      </c>
      <c r="D162" s="7" t="n">
        <v>74828.213</v>
      </c>
      <c r="E162" s="7" t="n">
        <v>18534.44</v>
      </c>
      <c r="F162" s="7" t="n">
        <v>79751.868</v>
      </c>
      <c r="G162" s="7" t="n">
        <v>2237.7</v>
      </c>
      <c r="H162" s="7" t="n">
        <v>59653.392</v>
      </c>
      <c r="I162" s="7" t="n">
        <v>704.86</v>
      </c>
      <c r="J162" s="7" t="n">
        <v>126953.597</v>
      </c>
      <c r="K162" s="7" t="n">
        <v>133.595</v>
      </c>
      <c r="L162" s="7" t="n">
        <v>12301.292</v>
      </c>
      <c r="M162" s="7" t="n"/>
      <c r="N162" s="7" t="n">
        <v>6317.7</v>
      </c>
      <c r="O162" s="7" t="n"/>
      <c r="P162" s="7" t="n">
        <v>867.45</v>
      </c>
      <c r="Q162" s="7" t="n"/>
      <c r="R162" s="7" t="n">
        <v>643.25</v>
      </c>
      <c r="S162" s="7" t="n"/>
      <c r="T162" s="7" t="n"/>
      <c r="U162" s="7" t="n">
        <v>3395.975</v>
      </c>
      <c r="V162" s="7" t="n">
        <v>5902.22</v>
      </c>
      <c r="W162" s="7" t="n"/>
      <c r="X162" s="7" t="n">
        <v>570.5839999999999</v>
      </c>
      <c r="Y162" s="7" t="n"/>
      <c r="Z162" s="7" t="n"/>
      <c r="AA162" s="7" t="n"/>
      <c r="AB162" s="7" t="n"/>
      <c r="AC162" s="7" t="n"/>
      <c r="AD162" s="7" t="n">
        <v>532.265</v>
      </c>
      <c r="AE162" s="8">
        <f>SUM(C162,E162,G162,I162,K162,M162,O162,Q162,S162,U162,W162,Y162,AA162,AC162)</f>
        <v/>
      </c>
      <c r="AF162" s="8">
        <f>SUM(D162,F162,H162,J162,L162,N162,P162,R162,T162,V162,X162,Z162,AB162,AD162)</f>
        <v/>
      </c>
      <c r="AG162" s="8">
        <f>AE162+AF162</f>
        <v/>
      </c>
    </row>
    <row r="163">
      <c r="A163" s="10" t="n">
        <v>158</v>
      </c>
      <c r="B163" s="28" t="inlineStr">
        <is>
          <t>Adana</t>
        </is>
      </c>
      <c r="C163" s="12" t="n">
        <v>13692.418</v>
      </c>
      <c r="D163" s="12" t="n">
        <v>50219.189</v>
      </c>
      <c r="E163" s="12" t="n">
        <v>9066.263999999999</v>
      </c>
      <c r="F163" s="12" t="n">
        <v>26794.04</v>
      </c>
      <c r="G163" s="12" t="n">
        <v>6238.694</v>
      </c>
      <c r="H163" s="12" t="n">
        <v>35495.811</v>
      </c>
      <c r="I163" s="12" t="n">
        <v>4625.358</v>
      </c>
      <c r="J163" s="12" t="n">
        <v>24484.479</v>
      </c>
      <c r="K163" s="12" t="n">
        <v>16693.787</v>
      </c>
      <c r="L163" s="12" t="n">
        <v>30411.644</v>
      </c>
      <c r="M163" s="12" t="n">
        <v>30500.263</v>
      </c>
      <c r="N163" s="12" t="n">
        <v>31818.948</v>
      </c>
      <c r="O163" s="12" t="n">
        <v>16382.826</v>
      </c>
      <c r="P163" s="12" t="n">
        <v>27319.495</v>
      </c>
      <c r="Q163" s="12" t="n">
        <v>7928.905</v>
      </c>
      <c r="R163" s="12" t="n">
        <v>11327.565</v>
      </c>
      <c r="S163" s="12" t="n">
        <v>7472.758</v>
      </c>
      <c r="T163" s="12" t="n">
        <v>7602.413</v>
      </c>
      <c r="U163" s="12" t="n">
        <v>10150.075</v>
      </c>
      <c r="V163" s="12" t="n">
        <v>8399.291999999999</v>
      </c>
      <c r="W163" s="12" t="n">
        <v>3499.002</v>
      </c>
      <c r="X163" s="12" t="n">
        <v>8529.984</v>
      </c>
      <c r="Y163" s="12" t="n">
        <v>2074.42</v>
      </c>
      <c r="Z163" s="12" t="n">
        <v>2527.004</v>
      </c>
      <c r="AA163" s="12" t="n">
        <v>3214.912</v>
      </c>
      <c r="AB163" s="12" t="n">
        <v>3163.267</v>
      </c>
      <c r="AC163" s="12" t="n">
        <v>1435</v>
      </c>
      <c r="AD163" s="12" t="n">
        <v>0</v>
      </c>
      <c r="AE163" s="13">
        <f>SUM(C163,E163,G163,I163,K163,M163,O163,Q163,S163,U163,W163,Y163,AA163,AC163)</f>
        <v/>
      </c>
      <c r="AF163" s="13">
        <f>SUM(D163,F163,H163,J163,L163,N163,P163,R163,T163,V163,X163,Z163,AB163,AD163)</f>
        <v/>
      </c>
      <c r="AG163" s="13">
        <f>AE163+AF163</f>
        <v/>
      </c>
    </row>
    <row r="164">
      <c r="A164" s="5" t="n">
        <v>159</v>
      </c>
      <c r="B164" s="27" t="inlineStr">
        <is>
          <t>Tavşanlı</t>
        </is>
      </c>
      <c r="C164" s="7" t="n">
        <v>61</v>
      </c>
      <c r="D164" s="7" t="n">
        <v>7777.19</v>
      </c>
      <c r="E164" s="7" t="n">
        <v>11082</v>
      </c>
      <c r="F164" s="7" t="n">
        <v>8455.857</v>
      </c>
      <c r="G164" s="7" t="n">
        <v>113165.6</v>
      </c>
      <c r="H164" s="7" t="n">
        <v>5661.259</v>
      </c>
      <c r="I164" s="7" t="n">
        <v>47499.48</v>
      </c>
      <c r="J164" s="7" t="n">
        <v>20124.299</v>
      </c>
      <c r="K164" s="7" t="n">
        <v>3261.17</v>
      </c>
      <c r="L164" s="7" t="n">
        <v>8670.128000000001</v>
      </c>
      <c r="M164" s="7" t="n">
        <v>9986.24</v>
      </c>
      <c r="N164" s="7" t="n">
        <v>31078.324</v>
      </c>
      <c r="O164" s="7" t="n">
        <v>13087.308</v>
      </c>
      <c r="P164" s="7" t="n">
        <v>11561.163</v>
      </c>
      <c r="Q164" s="7" t="n">
        <v>13772.295</v>
      </c>
      <c r="R164" s="7" t="n">
        <v>3744.74</v>
      </c>
      <c r="S164" s="7" t="n">
        <v>45269.094</v>
      </c>
      <c r="T164" s="7" t="n">
        <v>7986.656</v>
      </c>
      <c r="U164" s="7" t="n">
        <v>3300.013</v>
      </c>
      <c r="V164" s="7" t="n">
        <v>7100.444</v>
      </c>
      <c r="W164" s="7" t="n">
        <v>2300.269</v>
      </c>
      <c r="X164" s="7" t="n">
        <v>4495.939</v>
      </c>
      <c r="Y164" s="7" t="n">
        <v>2127.81</v>
      </c>
      <c r="Z164" s="7" t="n">
        <v>4336.61</v>
      </c>
      <c r="AA164" s="7" t="n">
        <v>2026.045</v>
      </c>
      <c r="AB164" s="7" t="n">
        <v>4240.315</v>
      </c>
      <c r="AC164" s="7" t="n">
        <v>998.42</v>
      </c>
      <c r="AD164" s="7" t="n">
        <v>1922.311</v>
      </c>
      <c r="AE164" s="8">
        <f>SUM(C164,E164,G164,I164,K164,M164,O164,Q164,S164,U164,W164,Y164,AA164,AC164)</f>
        <v/>
      </c>
      <c r="AF164" s="8">
        <f>SUM(D164,F164,H164,J164,L164,N164,P164,R164,T164,V164,X164,Z164,AB164,AD164)</f>
        <v/>
      </c>
      <c r="AG164" s="8">
        <f>AE164+AF164</f>
        <v/>
      </c>
    </row>
    <row r="165">
      <c r="A165" s="10" t="n">
        <v>160</v>
      </c>
      <c r="B165" s="28" t="inlineStr">
        <is>
          <t>Pamukova</t>
        </is>
      </c>
      <c r="C165" s="12" t="n">
        <v>105496.8</v>
      </c>
      <c r="D165" s="12" t="n">
        <v>6761.982</v>
      </c>
      <c r="E165" s="12" t="n">
        <v>45263.29</v>
      </c>
      <c r="F165" s="12" t="n">
        <v>4965.896</v>
      </c>
      <c r="G165" s="12" t="n">
        <v>11114.795</v>
      </c>
      <c r="H165" s="12" t="n">
        <v>3539.95</v>
      </c>
      <c r="I165" s="12" t="n">
        <v>42810.105</v>
      </c>
      <c r="J165" s="12" t="n">
        <v>5823.898</v>
      </c>
      <c r="K165" s="12" t="n">
        <v>37518.395</v>
      </c>
      <c r="L165" s="12" t="n">
        <v>4475.533</v>
      </c>
      <c r="M165" s="12" t="n">
        <v>23940</v>
      </c>
      <c r="N165" s="12" t="n">
        <v>2800.54</v>
      </c>
      <c r="O165" s="12" t="n">
        <v>4154</v>
      </c>
      <c r="P165" s="12" t="n">
        <v>4235.2</v>
      </c>
      <c r="Q165" s="12" t="n">
        <v>9338.16</v>
      </c>
      <c r="R165" s="12" t="n">
        <v>1846.04</v>
      </c>
      <c r="S165" s="12" t="n">
        <v>12446.902</v>
      </c>
      <c r="T165" s="12" t="n">
        <v>2372.575</v>
      </c>
      <c r="U165" s="12" t="n">
        <v>19350.109</v>
      </c>
      <c r="V165" s="12" t="n">
        <v>3027.145</v>
      </c>
      <c r="W165" s="12" t="n">
        <v>4832.08</v>
      </c>
      <c r="X165" s="12" t="n">
        <v>1039.795</v>
      </c>
      <c r="Y165" s="12" t="n">
        <v>4419.77</v>
      </c>
      <c r="Z165" s="12" t="n">
        <v>3328.085</v>
      </c>
      <c r="AA165" s="12" t="n">
        <v>21254.273</v>
      </c>
      <c r="AB165" s="12" t="n">
        <v>4141.235</v>
      </c>
      <c r="AC165" s="12" t="n">
        <v>432.159</v>
      </c>
      <c r="AD165" s="12" t="n">
        <v>3017.955</v>
      </c>
      <c r="AE165" s="13">
        <f>SUM(C165,E165,G165,I165,K165,M165,O165,Q165,S165,U165,W165,Y165,AA165,AC165)</f>
        <v/>
      </c>
      <c r="AF165" s="13">
        <f>SUM(D165,F165,H165,J165,L165,N165,P165,R165,T165,V165,X165,Z165,AB165,AD165)</f>
        <v/>
      </c>
      <c r="AG165" s="13">
        <f>AE165+AF165</f>
        <v/>
      </c>
    </row>
    <row r="166">
      <c r="A166" s="5" t="n">
        <v>161</v>
      </c>
      <c r="B166" s="27" t="inlineStr">
        <is>
          <t>Genç</t>
        </is>
      </c>
      <c r="C166" s="7" t="n">
        <v>9339.690000000001</v>
      </c>
      <c r="D166" s="7" t="n">
        <v>38505.99</v>
      </c>
      <c r="E166" s="7" t="n">
        <v>7976.05</v>
      </c>
      <c r="F166" s="7" t="n">
        <v>23301.65</v>
      </c>
      <c r="G166" s="7" t="n">
        <v>1637.55</v>
      </c>
      <c r="H166" s="7" t="n">
        <v>14530.95</v>
      </c>
      <c r="I166" s="7" t="n">
        <v>3819.17</v>
      </c>
      <c r="J166" s="7" t="n">
        <v>13840.954</v>
      </c>
      <c r="K166" s="7" t="n">
        <v>3692.84</v>
      </c>
      <c r="L166" s="7" t="n">
        <v>24744.848</v>
      </c>
      <c r="M166" s="7" t="n">
        <v>11543.89</v>
      </c>
      <c r="N166" s="7" t="n">
        <v>39379.116</v>
      </c>
      <c r="O166" s="7" t="n">
        <v>7716.72</v>
      </c>
      <c r="P166" s="7" t="n">
        <v>30430.89</v>
      </c>
      <c r="Q166" s="7" t="n">
        <v>5822.63</v>
      </c>
      <c r="R166" s="7" t="n">
        <v>52687.266</v>
      </c>
      <c r="S166" s="7" t="n">
        <v>8329.209999999999</v>
      </c>
      <c r="T166" s="7" t="n">
        <v>29123.016</v>
      </c>
      <c r="U166" s="7" t="n">
        <v>11676.01</v>
      </c>
      <c r="V166" s="7" t="n">
        <v>28997.254</v>
      </c>
      <c r="W166" s="7" t="n">
        <v>1608.4</v>
      </c>
      <c r="X166" s="7" t="n">
        <v>7265.754</v>
      </c>
      <c r="Y166" s="7" t="n">
        <v>395.34</v>
      </c>
      <c r="Z166" s="7" t="n">
        <v>4691.762</v>
      </c>
      <c r="AA166" s="7" t="n">
        <v>1135.2</v>
      </c>
      <c r="AB166" s="7" t="n">
        <v>5027.7</v>
      </c>
      <c r="AC166" s="7" t="n">
        <v>2298.59</v>
      </c>
      <c r="AD166" s="7" t="n">
        <v>2413.5</v>
      </c>
      <c r="AE166" s="8">
        <f>SUM(C166,E166,G166,I166,K166,M166,O166,Q166,S166,U166,W166,Y166,AA166,AC166)</f>
        <v/>
      </c>
      <c r="AF166" s="8">
        <f>SUM(D166,F166,H166,J166,L166,N166,P166,R166,T166,V166,X166,Z166,AB166,AD166)</f>
        <v/>
      </c>
      <c r="AG166" s="8">
        <f>AE166+AF166</f>
        <v/>
      </c>
    </row>
    <row r="167">
      <c r="A167" s="10" t="n">
        <v>162</v>
      </c>
      <c r="B167" s="28" t="inlineStr">
        <is>
          <t>Taşlıdere</t>
        </is>
      </c>
      <c r="C167" s="12" t="n">
        <v>85197.09</v>
      </c>
      <c r="D167" s="12" t="n">
        <v>16457.5</v>
      </c>
      <c r="E167" s="12" t="n">
        <v>83106.36</v>
      </c>
      <c r="F167" s="12" t="n">
        <v>15350</v>
      </c>
      <c r="G167" s="12" t="n">
        <v>108852.62</v>
      </c>
      <c r="H167" s="12" t="n">
        <v>19962.5</v>
      </c>
      <c r="I167" s="12" t="n">
        <v>50099.8</v>
      </c>
      <c r="J167" s="12" t="n">
        <v>9630</v>
      </c>
      <c r="K167" s="12" t="n">
        <v>240</v>
      </c>
      <c r="L167" s="12" t="n">
        <v>654</v>
      </c>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3">
        <f>SUM(C167,E167,G167,I167,K167,M167,O167,Q167,S167,U167,W167,Y167,AA167,AC167)</f>
        <v/>
      </c>
      <c r="AF167" s="13">
        <f>SUM(D167,F167,H167,J167,L167,N167,P167,R167,T167,V167,X167,Z167,AB167,AD167)</f>
        <v/>
      </c>
      <c r="AG167" s="13">
        <f>AE167+AF167</f>
        <v/>
      </c>
    </row>
    <row r="168">
      <c r="A168" s="5" t="n">
        <v>163</v>
      </c>
      <c r="B168" s="27" t="inlineStr">
        <is>
          <t>İhsaniye</t>
        </is>
      </c>
      <c r="C168" s="7" t="n">
        <v>7828.42</v>
      </c>
      <c r="D168" s="7" t="n">
        <v>62559.1</v>
      </c>
      <c r="E168" s="7" t="n">
        <v>80546.89999999999</v>
      </c>
      <c r="F168" s="7" t="n">
        <v>71165.7</v>
      </c>
      <c r="G168" s="7" t="n">
        <v>27705.7</v>
      </c>
      <c r="H168" s="7" t="n">
        <v>1043.3</v>
      </c>
      <c r="I168" s="7" t="n">
        <v>17374</v>
      </c>
      <c r="J168" s="7" t="n">
        <v>1697.3</v>
      </c>
      <c r="K168" s="7" t="n">
        <v>16090.04</v>
      </c>
      <c r="L168" s="7" t="n">
        <v>1188.73</v>
      </c>
      <c r="M168" s="7" t="n">
        <v>4514.9</v>
      </c>
      <c r="N168" s="7" t="n">
        <v>1269.41</v>
      </c>
      <c r="O168" s="7" t="n">
        <v>326</v>
      </c>
      <c r="P168" s="7" t="n">
        <v>379.85</v>
      </c>
      <c r="Q168" s="7" t="n">
        <v>4991.03</v>
      </c>
      <c r="R168" s="7" t="n">
        <v>10113</v>
      </c>
      <c r="S168" s="7" t="n">
        <v>130</v>
      </c>
      <c r="T168" s="7" t="n">
        <v>1676.9</v>
      </c>
      <c r="U168" s="7" t="n">
        <v>13322.51</v>
      </c>
      <c r="V168" s="7" t="n">
        <v>535.14</v>
      </c>
      <c r="W168" s="7" t="n">
        <v>25224.465</v>
      </c>
      <c r="X168" s="7" t="n">
        <v>41.36</v>
      </c>
      <c r="Y168" s="7" t="n">
        <v>8924.001</v>
      </c>
      <c r="Z168" s="7" t="n">
        <v>142</v>
      </c>
      <c r="AA168" s="7" t="n">
        <v>17586.609</v>
      </c>
      <c r="AB168" s="7" t="n">
        <v>240.36</v>
      </c>
      <c r="AC168" s="7" t="n">
        <v>7886.798</v>
      </c>
      <c r="AD168" s="7" t="n">
        <v>43</v>
      </c>
      <c r="AE168" s="8">
        <f>SUM(C168,E168,G168,I168,K168,M168,O168,Q168,S168,U168,W168,Y168,AA168,AC168)</f>
        <v/>
      </c>
      <c r="AF168" s="8">
        <f>SUM(D168,F168,H168,J168,L168,N168,P168,R168,T168,V168,X168,Z168,AB168,AD168)</f>
        <v/>
      </c>
      <c r="AG168" s="8">
        <f>AE168+AF168</f>
        <v/>
      </c>
    </row>
    <row r="169">
      <c r="A169" s="10" t="n">
        <v>164</v>
      </c>
      <c r="B169" s="28" t="inlineStr">
        <is>
          <t>Vezirhan</t>
        </is>
      </c>
      <c r="C169" s="12" t="n"/>
      <c r="D169" s="12" t="n">
        <v>150</v>
      </c>
      <c r="E169" s="12" t="n">
        <v>5154.2</v>
      </c>
      <c r="F169" s="12" t="n">
        <v>8245.200000000001</v>
      </c>
      <c r="G169" s="12" t="n">
        <v>1803.25</v>
      </c>
      <c r="H169" s="12" t="n">
        <v>270.4</v>
      </c>
      <c r="I169" s="12" t="n">
        <v>213</v>
      </c>
      <c r="J169" s="12" t="n"/>
      <c r="K169" s="12" t="n">
        <v>23517.946</v>
      </c>
      <c r="L169" s="12" t="n">
        <v>2985</v>
      </c>
      <c r="M169" s="12" t="n">
        <v>51199.385</v>
      </c>
      <c r="N169" s="12" t="n">
        <v>9575</v>
      </c>
      <c r="O169" s="12" t="n">
        <v>11437</v>
      </c>
      <c r="P169" s="12" t="n">
        <v>4040.3</v>
      </c>
      <c r="Q169" s="12" t="n">
        <v>40145.405</v>
      </c>
      <c r="R169" s="12" t="n"/>
      <c r="S169" s="12" t="n">
        <v>67571.095</v>
      </c>
      <c r="T169" s="12" t="n">
        <v>208.4</v>
      </c>
      <c r="U169" s="12" t="n">
        <v>37579.4</v>
      </c>
      <c r="V169" s="12" t="n">
        <v>142</v>
      </c>
      <c r="W169" s="12" t="n"/>
      <c r="X169" s="12" t="n"/>
      <c r="Y169" s="12" t="n">
        <v>29722.46</v>
      </c>
      <c r="Z169" s="12" t="n">
        <v>2573.295</v>
      </c>
      <c r="AA169" s="12" t="n">
        <v>53592.2</v>
      </c>
      <c r="AB169" s="12" t="n">
        <v>140</v>
      </c>
      <c r="AC169" s="12" t="n">
        <v>19474.199</v>
      </c>
      <c r="AD169" s="12" t="n">
        <v>826.1950000000001</v>
      </c>
      <c r="AE169" s="13">
        <f>SUM(C169,E169,G169,I169,K169,M169,O169,Q169,S169,U169,W169,Y169,AA169,AC169)</f>
        <v/>
      </c>
      <c r="AF169" s="13">
        <f>SUM(D169,F169,H169,J169,L169,N169,P169,R169,T169,V169,X169,Z169,AB169,AD169)</f>
        <v/>
      </c>
      <c r="AG169" s="13">
        <f>AE169+AF169</f>
        <v/>
      </c>
    </row>
    <row r="170">
      <c r="A170" s="5" t="n">
        <v>165</v>
      </c>
      <c r="B170" s="27" t="inlineStr">
        <is>
          <t>Akhisar</t>
        </is>
      </c>
      <c r="C170" s="7" t="n">
        <v>8678.690000000001</v>
      </c>
      <c r="D170" s="7" t="n">
        <v>185823.255</v>
      </c>
      <c r="E170" s="7" t="n">
        <v>43480</v>
      </c>
      <c r="F170" s="7" t="n">
        <v>3611.024</v>
      </c>
      <c r="G170" s="7" t="n">
        <v>9692.700000000001</v>
      </c>
      <c r="H170" s="7" t="n">
        <v>17721.979</v>
      </c>
      <c r="I170" s="7" t="n">
        <v>27.935</v>
      </c>
      <c r="J170" s="7" t="n">
        <v>1648.7</v>
      </c>
      <c r="K170" s="7" t="n">
        <v>289.96</v>
      </c>
      <c r="L170" s="7" t="n">
        <v>21249.2</v>
      </c>
      <c r="M170" s="7" t="n">
        <v>2228.59</v>
      </c>
      <c r="N170" s="7" t="n">
        <v>1845.643</v>
      </c>
      <c r="O170" s="7" t="n">
        <v>1434</v>
      </c>
      <c r="P170" s="7" t="n">
        <v>32454</v>
      </c>
      <c r="Q170" s="7" t="n">
        <v>3312.2</v>
      </c>
      <c r="R170" s="7" t="n">
        <v>586.946</v>
      </c>
      <c r="S170" s="7" t="n"/>
      <c r="T170" s="7" t="n">
        <v>440</v>
      </c>
      <c r="U170" s="7" t="n"/>
      <c r="V170" s="7" t="n">
        <v>2085</v>
      </c>
      <c r="W170" s="7" t="n">
        <v>500</v>
      </c>
      <c r="X170" s="7" t="n">
        <v>1092.229</v>
      </c>
      <c r="Y170" s="7" t="n">
        <v>962.55</v>
      </c>
      <c r="Z170" s="7" t="n">
        <v>890.274</v>
      </c>
      <c r="AA170" s="7" t="n">
        <v>786.1</v>
      </c>
      <c r="AB170" s="7" t="n">
        <v>2819.485</v>
      </c>
      <c r="AC170" s="7" t="n">
        <v>121.155</v>
      </c>
      <c r="AD170" s="7" t="n">
        <v>259.14</v>
      </c>
      <c r="AE170" s="8">
        <f>SUM(C170,E170,G170,I170,K170,M170,O170,Q170,S170,U170,W170,Y170,AA170,AC170)</f>
        <v/>
      </c>
      <c r="AF170" s="8">
        <f>SUM(D170,F170,H170,J170,L170,N170,P170,R170,T170,V170,X170,Z170,AB170,AD170)</f>
        <v/>
      </c>
      <c r="AG170" s="8">
        <f>AE170+AF170</f>
        <v/>
      </c>
    </row>
    <row r="171">
      <c r="A171" s="10" t="n">
        <v>166</v>
      </c>
      <c r="B171" s="28" t="inlineStr">
        <is>
          <t>Çay</t>
        </is>
      </c>
      <c r="C171" s="12" t="n">
        <v>46438.85</v>
      </c>
      <c r="D171" s="12" t="n">
        <v>481.895</v>
      </c>
      <c r="E171" s="12" t="n">
        <v>47048.2</v>
      </c>
      <c r="F171" s="12" t="n">
        <v>75585.10000000001</v>
      </c>
      <c r="G171" s="12" t="n">
        <v>67170</v>
      </c>
      <c r="H171" s="12" t="n">
        <v>677.252</v>
      </c>
      <c r="I171" s="12" t="n">
        <v>2114.3</v>
      </c>
      <c r="J171" s="12" t="n">
        <v>753.55</v>
      </c>
      <c r="K171" s="12" t="n">
        <v>18907.36</v>
      </c>
      <c r="L171" s="12" t="n">
        <v>1508.6</v>
      </c>
      <c r="M171" s="12" t="n">
        <v>26515.22</v>
      </c>
      <c r="N171" s="12" t="n">
        <v>766.71</v>
      </c>
      <c r="O171" s="12" t="n">
        <v>8306.16</v>
      </c>
      <c r="P171" s="12" t="n">
        <v>11962.16</v>
      </c>
      <c r="Q171" s="12" t="n">
        <v>9734.1</v>
      </c>
      <c r="R171" s="12" t="n">
        <v>4383.96</v>
      </c>
      <c r="S171" s="12" t="n">
        <v>8942.353999999999</v>
      </c>
      <c r="T171" s="12" t="n"/>
      <c r="U171" s="12" t="n"/>
      <c r="V171" s="12" t="n"/>
      <c r="W171" s="12" t="n">
        <v>69.12</v>
      </c>
      <c r="X171" s="12" t="n"/>
      <c r="Y171" s="12" t="n"/>
      <c r="Z171" s="12" t="n"/>
      <c r="AA171" s="12" t="n">
        <v>0</v>
      </c>
      <c r="AB171" s="12" t="n">
        <v>55</v>
      </c>
      <c r="AC171" s="12" t="n">
        <v>2734.935</v>
      </c>
      <c r="AD171" s="12" t="n">
        <v>2530</v>
      </c>
      <c r="AE171" s="13">
        <f>SUM(C171,E171,G171,I171,K171,M171,O171,Q171,S171,U171,W171,Y171,AA171,AC171)</f>
        <v/>
      </c>
      <c r="AF171" s="13">
        <f>SUM(D171,F171,H171,J171,L171,N171,P171,R171,T171,V171,X171,Z171,AB171,AD171)</f>
        <v/>
      </c>
      <c r="AG171" s="13">
        <f>AE171+AF171</f>
        <v/>
      </c>
    </row>
    <row r="172">
      <c r="A172" s="5" t="n">
        <v>167</v>
      </c>
      <c r="B172" s="27" t="inlineStr">
        <is>
          <t>Nohutova</t>
        </is>
      </c>
      <c r="C172" s="7" t="n"/>
      <c r="D172" s="7" t="n"/>
      <c r="E172" s="7" t="n"/>
      <c r="F172" s="7" t="n"/>
      <c r="G172" s="7" t="n"/>
      <c r="H172" s="7" t="n"/>
      <c r="I172" s="7" t="n"/>
      <c r="J172" s="7" t="n"/>
      <c r="K172" s="7" t="n"/>
      <c r="L172" s="7" t="n"/>
      <c r="M172" s="7" t="n"/>
      <c r="N172" s="7" t="n"/>
      <c r="O172" s="7" t="n"/>
      <c r="P172" s="7" t="n"/>
      <c r="Q172" s="7" t="n"/>
      <c r="R172" s="7" t="n"/>
      <c r="S172" s="7" t="n">
        <v>16063.2</v>
      </c>
      <c r="T172" s="7" t="n">
        <v>90321.64999999999</v>
      </c>
      <c r="U172" s="7" t="n">
        <v>10565.6</v>
      </c>
      <c r="V172" s="7" t="n">
        <v>56628.66</v>
      </c>
      <c r="W172" s="7" t="n">
        <v>11016.8</v>
      </c>
      <c r="X172" s="7" t="n">
        <v>60940.7</v>
      </c>
      <c r="Y172" s="7" t="n">
        <v>7120.5</v>
      </c>
      <c r="Z172" s="7" t="n">
        <v>39370.1</v>
      </c>
      <c r="AA172" s="7" t="n">
        <v>7036.1</v>
      </c>
      <c r="AB172" s="7" t="n">
        <v>36762.42</v>
      </c>
      <c r="AC172" s="7" t="n"/>
      <c r="AD172" s="7" t="n"/>
      <c r="AE172" s="8">
        <f>SUM(C172,E172,G172,I172,K172,M172,O172,Q172,S172,U172,W172,Y172,AA172,AC172)</f>
        <v/>
      </c>
      <c r="AF172" s="8">
        <f>SUM(D172,F172,H172,J172,L172,N172,P172,R172,T172,V172,X172,Z172,AB172,AD172)</f>
        <v/>
      </c>
      <c r="AG172" s="8">
        <f>AE172+AF172</f>
        <v/>
      </c>
    </row>
    <row r="173">
      <c r="A173" s="10" t="n">
        <v>168</v>
      </c>
      <c r="B173" s="28" t="inlineStr">
        <is>
          <t>Meydan</t>
        </is>
      </c>
      <c r="C173" s="12" t="n">
        <v>18259.8</v>
      </c>
      <c r="D173" s="12" t="n">
        <v>22784.64</v>
      </c>
      <c r="E173" s="12" t="n">
        <v>28710</v>
      </c>
      <c r="F173" s="12" t="n">
        <v>26311.6</v>
      </c>
      <c r="G173" s="12" t="n">
        <v>20170</v>
      </c>
      <c r="H173" s="12" t="n">
        <v>16864.22</v>
      </c>
      <c r="I173" s="12" t="n">
        <v>20442</v>
      </c>
      <c r="J173" s="12" t="n">
        <v>19199.1</v>
      </c>
      <c r="K173" s="12" t="n">
        <v>16134</v>
      </c>
      <c r="L173" s="12" t="n">
        <v>19851.27</v>
      </c>
      <c r="M173" s="12" t="n">
        <v>56144.34</v>
      </c>
      <c r="N173" s="12" t="n">
        <v>20683.525</v>
      </c>
      <c r="O173" s="12" t="n">
        <v>27425.854</v>
      </c>
      <c r="P173" s="12" t="n">
        <v>21709.4</v>
      </c>
      <c r="Q173" s="12" t="n"/>
      <c r="R173" s="12" t="n">
        <v>45</v>
      </c>
      <c r="S173" s="12" t="n">
        <v>71.22</v>
      </c>
      <c r="T173" s="12" t="n">
        <v>200</v>
      </c>
      <c r="U173" s="12" t="n"/>
      <c r="V173" s="12" t="n"/>
      <c r="W173" s="12" t="n">
        <v>50.22</v>
      </c>
      <c r="X173" s="12" t="n">
        <v>50.22</v>
      </c>
      <c r="Y173" s="12" t="n"/>
      <c r="Z173" s="12" t="n"/>
      <c r="AA173" s="12" t="n"/>
      <c r="AB173" s="12" t="n"/>
      <c r="AC173" s="12" t="n"/>
      <c r="AD173" s="12" t="n"/>
      <c r="AE173" s="13">
        <f>SUM(C173,E173,G173,I173,K173,M173,O173,Q173,S173,U173,W173,Y173,AA173,AC173)</f>
        <v/>
      </c>
      <c r="AF173" s="13">
        <f>SUM(D173,F173,H173,J173,L173,N173,P173,R173,T173,V173,X173,Z173,AB173,AD173)</f>
        <v/>
      </c>
      <c r="AG173" s="13">
        <f>AE173+AF173</f>
        <v/>
      </c>
    </row>
    <row r="174">
      <c r="A174" s="5" t="n">
        <v>169</v>
      </c>
      <c r="B174" s="27" t="inlineStr">
        <is>
          <t>İnönü</t>
        </is>
      </c>
      <c r="C174" s="7" t="n"/>
      <c r="D174" s="7" t="n"/>
      <c r="E174" s="7" t="n"/>
      <c r="F174" s="7" t="n"/>
      <c r="G174" s="7" t="n"/>
      <c r="H174" s="7" t="n"/>
      <c r="I174" s="7" t="n"/>
      <c r="J174" s="7" t="n"/>
      <c r="K174" s="7" t="n"/>
      <c r="L174" s="7" t="n"/>
      <c r="M174" s="7" t="n"/>
      <c r="N174" s="7" t="n"/>
      <c r="O174" s="7" t="n">
        <v>105848.5</v>
      </c>
      <c r="P174" s="7" t="n">
        <v>400</v>
      </c>
      <c r="Q174" s="7" t="n">
        <v>53497.56</v>
      </c>
      <c r="R174" s="7" t="n">
        <v>4550</v>
      </c>
      <c r="S174" s="7" t="n"/>
      <c r="T174" s="7" t="n"/>
      <c r="U174" s="7" t="n">
        <v>156296.08</v>
      </c>
      <c r="V174" s="7" t="n">
        <v>12</v>
      </c>
      <c r="W174" s="7" t="n">
        <v>6811.1</v>
      </c>
      <c r="X174" s="7" t="n">
        <v>24</v>
      </c>
      <c r="Y174" s="7" t="n">
        <v>2058</v>
      </c>
      <c r="Z174" s="7" t="n">
        <v>545.4</v>
      </c>
      <c r="AA174" s="7" t="n">
        <v>1340</v>
      </c>
      <c r="AB174" s="7" t="n">
        <v>1633.02</v>
      </c>
      <c r="AC174" s="7" t="n"/>
      <c r="AD174" s="7" t="n">
        <v>0</v>
      </c>
      <c r="AE174" s="8">
        <f>SUM(C174,E174,G174,I174,K174,M174,O174,Q174,S174,U174,W174,Y174,AA174,AC174)</f>
        <v/>
      </c>
      <c r="AF174" s="8">
        <f>SUM(D174,F174,H174,J174,L174,N174,P174,R174,T174,V174,X174,Z174,AB174,AD174)</f>
        <v/>
      </c>
      <c r="AG174" s="8">
        <f>AE174+AF174</f>
        <v/>
      </c>
    </row>
    <row r="175">
      <c r="A175" s="10" t="n">
        <v>170</v>
      </c>
      <c r="B175" s="28" t="inlineStr">
        <is>
          <t>Sekili</t>
        </is>
      </c>
      <c r="C175" s="12" t="n"/>
      <c r="D175" s="12" t="n">
        <v>536</v>
      </c>
      <c r="E175" s="12" t="n"/>
      <c r="F175" s="12" t="n"/>
      <c r="G175" s="12" t="n"/>
      <c r="H175" s="12" t="n"/>
      <c r="I175" s="12" t="n"/>
      <c r="J175" s="12" t="n"/>
      <c r="K175" s="12" t="n"/>
      <c r="L175" s="12" t="n"/>
      <c r="M175" s="12" t="n"/>
      <c r="N175" s="12" t="n"/>
      <c r="O175" s="12" t="n"/>
      <c r="P175" s="12" t="n">
        <v>263261.75</v>
      </c>
      <c r="Q175" s="12" t="n"/>
      <c r="R175" s="12" t="n">
        <v>4324.2</v>
      </c>
      <c r="S175" s="12" t="n"/>
      <c r="T175" s="12" t="n"/>
      <c r="U175" s="12" t="n">
        <v>6580</v>
      </c>
      <c r="V175" s="12" t="n">
        <v>205</v>
      </c>
      <c r="W175" s="12" t="n">
        <v>7950</v>
      </c>
      <c r="X175" s="12" t="n"/>
      <c r="Y175" s="12" t="n"/>
      <c r="Z175" s="12" t="n"/>
      <c r="AA175" s="12" t="n">
        <v>1</v>
      </c>
      <c r="AB175" s="12" t="n">
        <v>47901</v>
      </c>
      <c r="AC175" s="12" t="n"/>
      <c r="AD175" s="12" t="n">
        <v>376.5</v>
      </c>
      <c r="AE175" s="13">
        <f>SUM(C175,E175,G175,I175,K175,M175,O175,Q175,S175,U175,W175,Y175,AA175,AC175)</f>
        <v/>
      </c>
      <c r="AF175" s="13">
        <f>SUM(D175,F175,H175,J175,L175,N175,P175,R175,T175,V175,X175,Z175,AB175,AD175)</f>
        <v/>
      </c>
      <c r="AG175" s="13">
        <f>AE175+AF175</f>
        <v/>
      </c>
    </row>
    <row r="176">
      <c r="A176" s="5" t="n">
        <v>171</v>
      </c>
      <c r="B176" s="27" t="inlineStr">
        <is>
          <t>Konya</t>
        </is>
      </c>
      <c r="C176" s="7" t="n">
        <v>9020.575000000001</v>
      </c>
      <c r="D176" s="7" t="n">
        <v>12471.665</v>
      </c>
      <c r="E176" s="7" t="n">
        <v>6625.26</v>
      </c>
      <c r="F176" s="7" t="n">
        <v>12589.326</v>
      </c>
      <c r="G176" s="7" t="n">
        <v>6232.551</v>
      </c>
      <c r="H176" s="7" t="n">
        <v>13896.837</v>
      </c>
      <c r="I176" s="7" t="n">
        <v>4938.022</v>
      </c>
      <c r="J176" s="7" t="n">
        <v>19125.728</v>
      </c>
      <c r="K176" s="7" t="n">
        <v>20504.792</v>
      </c>
      <c r="L176" s="7" t="n">
        <v>19443.348</v>
      </c>
      <c r="M176" s="7" t="n">
        <v>12232.337</v>
      </c>
      <c r="N176" s="7" t="n">
        <v>16095.897</v>
      </c>
      <c r="O176" s="7" t="n">
        <v>15868.57</v>
      </c>
      <c r="P176" s="7" t="n">
        <v>19543.219</v>
      </c>
      <c r="Q176" s="7" t="n">
        <v>6844.675</v>
      </c>
      <c r="R176" s="7" t="n">
        <v>10199.653</v>
      </c>
      <c r="S176" s="7" t="n">
        <v>16911.444</v>
      </c>
      <c r="T176" s="7" t="n">
        <v>30527.802</v>
      </c>
      <c r="U176" s="7" t="n">
        <v>10217.001</v>
      </c>
      <c r="V176" s="7" t="n">
        <v>13389.959</v>
      </c>
      <c r="W176" s="7" t="n">
        <v>8885.103999999999</v>
      </c>
      <c r="X176" s="7" t="n">
        <v>9550.041999999999</v>
      </c>
      <c r="Y176" s="7" t="n">
        <v>7801.168</v>
      </c>
      <c r="Z176" s="7" t="n">
        <v>11333.843</v>
      </c>
      <c r="AA176" s="7" t="n">
        <v>6086.305</v>
      </c>
      <c r="AB176" s="7" t="n">
        <v>7686.589</v>
      </c>
      <c r="AC176" s="7" t="n">
        <v>383.985</v>
      </c>
      <c r="AD176" s="7" t="n">
        <v>363.381</v>
      </c>
      <c r="AE176" s="8">
        <f>SUM(C176,E176,G176,I176,K176,M176,O176,Q176,S176,U176,W176,Y176,AA176,AC176)</f>
        <v/>
      </c>
      <c r="AF176" s="8">
        <f>SUM(D176,F176,H176,J176,L176,N176,P176,R176,T176,V176,X176,Z176,AB176,AD176)</f>
        <v/>
      </c>
      <c r="AG176" s="8">
        <f>AE176+AF176</f>
        <v/>
      </c>
    </row>
    <row r="177">
      <c r="A177" s="10" t="n">
        <v>172</v>
      </c>
      <c r="B177" s="28" t="inlineStr">
        <is>
          <t>Susurluk</t>
        </is>
      </c>
      <c r="C177" s="12" t="n">
        <v>10</v>
      </c>
      <c r="D177" s="12" t="n">
        <v>1576.846</v>
      </c>
      <c r="E177" s="12" t="n">
        <v>9933</v>
      </c>
      <c r="F177" s="12" t="n">
        <v>18128.465</v>
      </c>
      <c r="G177" s="12" t="n">
        <v>4819</v>
      </c>
      <c r="H177" s="12" t="n">
        <v>3237.216</v>
      </c>
      <c r="I177" s="12" t="n"/>
      <c r="J177" s="12" t="n">
        <v>721.164</v>
      </c>
      <c r="K177" s="12" t="n">
        <v>31720.935</v>
      </c>
      <c r="L177" s="12" t="n">
        <v>105207.84</v>
      </c>
      <c r="M177" s="12" t="n">
        <v>22764.49</v>
      </c>
      <c r="N177" s="12" t="n">
        <v>116806.82</v>
      </c>
      <c r="O177" s="12" t="n">
        <v>30</v>
      </c>
      <c r="P177" s="12" t="n">
        <v>10256</v>
      </c>
      <c r="Q177" s="12" t="n"/>
      <c r="R177" s="12" t="n">
        <v>88.23999999999999</v>
      </c>
      <c r="S177" s="12" t="n"/>
      <c r="T177" s="12" t="n">
        <v>12</v>
      </c>
      <c r="U177" s="12" t="n">
        <v>2275</v>
      </c>
      <c r="V177" s="12" t="n"/>
      <c r="W177" s="12" t="n"/>
      <c r="X177" s="12" t="n"/>
      <c r="Y177" s="12" t="n"/>
      <c r="Z177" s="12" t="n"/>
      <c r="AA177" s="12" t="n">
        <v>34.74</v>
      </c>
      <c r="AB177" s="12" t="n">
        <v>34.74</v>
      </c>
      <c r="AC177" s="12" t="n"/>
      <c r="AD177" s="12" t="n"/>
      <c r="AE177" s="13">
        <f>SUM(C177,E177,G177,I177,K177,M177,O177,Q177,S177,U177,W177,Y177,AA177,AC177)</f>
        <v/>
      </c>
      <c r="AF177" s="13">
        <f>SUM(D177,F177,H177,J177,L177,N177,P177,R177,T177,V177,X177,Z177,AB177,AD177)</f>
        <v/>
      </c>
      <c r="AG177" s="13">
        <f>AE177+AF177</f>
        <v/>
      </c>
    </row>
    <row r="178">
      <c r="A178" s="5" t="n">
        <v>173</v>
      </c>
      <c r="B178" s="27" t="inlineStr">
        <is>
          <t>Kızılca</t>
        </is>
      </c>
      <c r="C178" s="7" t="n">
        <v>155369.285</v>
      </c>
      <c r="D178" s="7" t="n">
        <v>2501.6</v>
      </c>
      <c r="E178" s="7" t="n">
        <v>110376.696</v>
      </c>
      <c r="F178" s="7" t="n">
        <v>422.23</v>
      </c>
      <c r="G178" s="7" t="n">
        <v>58703.2</v>
      </c>
      <c r="H178" s="7" t="n">
        <v>201</v>
      </c>
      <c r="I178" s="7" t="n"/>
      <c r="J178" s="7" t="n"/>
      <c r="K178" s="7" t="n"/>
      <c r="L178" s="7" t="n"/>
      <c r="M178" s="7" t="n"/>
      <c r="N178" s="7" t="n"/>
      <c r="O178" s="7" t="n"/>
      <c r="P178" s="7" t="n"/>
      <c r="Q178" s="7" t="n"/>
      <c r="R178" s="7" t="n"/>
      <c r="S178" s="7" t="n"/>
      <c r="T178" s="7" t="n"/>
      <c r="U178" s="7" t="n"/>
      <c r="V178" s="7" t="n"/>
      <c r="W178" s="7" t="n"/>
      <c r="X178" s="7" t="n"/>
      <c r="Y178" s="7" t="n"/>
      <c r="Z178" s="7" t="n"/>
      <c r="AA178" s="7" t="n">
        <v>40</v>
      </c>
      <c r="AB178" s="7" t="n"/>
      <c r="AC178" s="7" t="n"/>
      <c r="AD178" s="7" t="n"/>
      <c r="AE178" s="8">
        <f>SUM(C178,E178,G178,I178,K178,M178,O178,Q178,S178,U178,W178,Y178,AA178,AC178)</f>
        <v/>
      </c>
      <c r="AF178" s="8">
        <f>SUM(D178,F178,H178,J178,L178,N178,P178,R178,T178,V178,X178,Z178,AB178,AD178)</f>
        <v/>
      </c>
      <c r="AG178" s="8">
        <f>AE178+AF178</f>
        <v/>
      </c>
    </row>
    <row r="179">
      <c r="A179" s="10" t="n">
        <v>174</v>
      </c>
      <c r="B179" s="28" t="inlineStr">
        <is>
          <t>Afyonşehir</t>
        </is>
      </c>
      <c r="C179" s="12" t="n">
        <v>140</v>
      </c>
      <c r="D179" s="12" t="n">
        <v>35514.516</v>
      </c>
      <c r="E179" s="12" t="n">
        <v>1155.84</v>
      </c>
      <c r="F179" s="12" t="n">
        <v>36765.957</v>
      </c>
      <c r="G179" s="12" t="n">
        <v>730.96</v>
      </c>
      <c r="H179" s="12" t="n">
        <v>27817.117</v>
      </c>
      <c r="I179" s="12" t="n">
        <v>23</v>
      </c>
      <c r="J179" s="12" t="n">
        <v>4188.845</v>
      </c>
      <c r="K179" s="12" t="n">
        <v>5495</v>
      </c>
      <c r="L179" s="12" t="n">
        <v>100929.347</v>
      </c>
      <c r="M179" s="12" t="n">
        <v>231.2</v>
      </c>
      <c r="N179" s="12" t="n">
        <v>62888.92</v>
      </c>
      <c r="O179" s="12" t="n"/>
      <c r="P179" s="12" t="n">
        <v>4225.556</v>
      </c>
      <c r="Q179" s="12" t="n"/>
      <c r="R179" s="12" t="n">
        <v>34412.2</v>
      </c>
      <c r="S179" s="12" t="n"/>
      <c r="T179" s="12" t="n">
        <v>12332.99</v>
      </c>
      <c r="U179" s="12" t="n"/>
      <c r="V179" s="12" t="n"/>
      <c r="W179" s="12" t="n"/>
      <c r="X179" s="12" t="n"/>
      <c r="Y179" s="12" t="n"/>
      <c r="Z179" s="12" t="n"/>
      <c r="AA179" s="12" t="n"/>
      <c r="AB179" s="12" t="n"/>
      <c r="AC179" s="12" t="n"/>
      <c r="AD179" s="12" t="n"/>
      <c r="AE179" s="13">
        <f>SUM(C179,E179,G179,I179,K179,M179,O179,Q179,S179,U179,W179,Y179,AA179,AC179)</f>
        <v/>
      </c>
      <c r="AF179" s="13">
        <f>SUM(D179,F179,H179,J179,L179,N179,P179,R179,T179,V179,X179,Z179,AB179,AD179)</f>
        <v/>
      </c>
      <c r="AG179" s="13">
        <f>AE179+AF179</f>
        <v/>
      </c>
    </row>
    <row r="180">
      <c r="A180" s="5" t="n">
        <v>175</v>
      </c>
      <c r="B180" s="27" t="inlineStr">
        <is>
          <t>Çankırı</t>
        </is>
      </c>
      <c r="C180" s="7" t="n">
        <v>9983.805</v>
      </c>
      <c r="D180" s="7" t="n">
        <v>12112.025</v>
      </c>
      <c r="E180" s="7" t="n">
        <v>15508.1</v>
      </c>
      <c r="F180" s="7" t="n">
        <v>13745.077</v>
      </c>
      <c r="G180" s="7" t="n">
        <v>9066.68</v>
      </c>
      <c r="H180" s="7" t="n">
        <v>20468.871</v>
      </c>
      <c r="I180" s="7" t="n">
        <v>10104.99</v>
      </c>
      <c r="J180" s="7" t="n">
        <v>18895.283</v>
      </c>
      <c r="K180" s="7" t="n">
        <v>8501.295</v>
      </c>
      <c r="L180" s="7" t="n">
        <v>19093.627</v>
      </c>
      <c r="M180" s="7" t="n">
        <v>8318.166999999999</v>
      </c>
      <c r="N180" s="7" t="n">
        <v>16336.2</v>
      </c>
      <c r="O180" s="7" t="n">
        <v>12205.052</v>
      </c>
      <c r="P180" s="7" t="n">
        <v>9364.379999999999</v>
      </c>
      <c r="Q180" s="7" t="n">
        <v>8526.01</v>
      </c>
      <c r="R180" s="7" t="n">
        <v>4205.448</v>
      </c>
      <c r="S180" s="7" t="n">
        <v>7647.528</v>
      </c>
      <c r="T180" s="7" t="n">
        <v>9212.511</v>
      </c>
      <c r="U180" s="7" t="n">
        <v>11183.155</v>
      </c>
      <c r="V180" s="7" t="n">
        <v>12861.216</v>
      </c>
      <c r="W180" s="7" t="n">
        <v>10345.044</v>
      </c>
      <c r="X180" s="7" t="n">
        <v>11325.698</v>
      </c>
      <c r="Y180" s="7" t="n">
        <v>10093.884</v>
      </c>
      <c r="Z180" s="7" t="n">
        <v>15679.126</v>
      </c>
      <c r="AA180" s="7" t="n">
        <v>12378.386</v>
      </c>
      <c r="AB180" s="7" t="n">
        <v>13081.649</v>
      </c>
      <c r="AC180" s="7" t="n">
        <v>3767.611</v>
      </c>
      <c r="AD180" s="7" t="n">
        <v>1841.281</v>
      </c>
      <c r="AE180" s="8">
        <f>SUM(C180,E180,G180,I180,K180,M180,O180,Q180,S180,U180,W180,Y180,AA180,AC180)</f>
        <v/>
      </c>
      <c r="AF180" s="8">
        <f>SUM(D180,F180,H180,J180,L180,N180,P180,R180,T180,V180,X180,Z180,AB180,AD180)</f>
        <v/>
      </c>
      <c r="AG180" s="8">
        <f>AE180+AF180</f>
        <v/>
      </c>
    </row>
    <row r="181">
      <c r="A181" s="10" t="n">
        <v>176</v>
      </c>
      <c r="B181" s="28" t="inlineStr">
        <is>
          <t>Kütahya</t>
        </is>
      </c>
      <c r="C181" s="12" t="n">
        <v>126.7</v>
      </c>
      <c r="D181" s="12" t="n">
        <v>3201.57</v>
      </c>
      <c r="E181" s="12" t="n">
        <v>3104.45</v>
      </c>
      <c r="F181" s="12" t="n">
        <v>51070.289</v>
      </c>
      <c r="G181" s="12" t="n">
        <v>10050.92</v>
      </c>
      <c r="H181" s="12" t="n">
        <v>401.267</v>
      </c>
      <c r="I181" s="12" t="n">
        <v>17401.435</v>
      </c>
      <c r="J181" s="12" t="n">
        <v>12804.57</v>
      </c>
      <c r="K181" s="12" t="n">
        <v>4639.24</v>
      </c>
      <c r="L181" s="12" t="n">
        <v>6276.12</v>
      </c>
      <c r="M181" s="12" t="n">
        <v>75147.89</v>
      </c>
      <c r="N181" s="12" t="n">
        <v>2326.746</v>
      </c>
      <c r="O181" s="12" t="n">
        <v>73394.23</v>
      </c>
      <c r="P181" s="12" t="n">
        <v>516.88</v>
      </c>
      <c r="Q181" s="12" t="n">
        <v>2260.166</v>
      </c>
      <c r="R181" s="12" t="n">
        <v>2133.835</v>
      </c>
      <c r="S181" s="12" t="n">
        <v>22248.39</v>
      </c>
      <c r="T181" s="12" t="n">
        <v>3944.435</v>
      </c>
      <c r="U181" s="12" t="n">
        <v>169.82</v>
      </c>
      <c r="V181" s="12" t="n">
        <v>670.0700000000001</v>
      </c>
      <c r="W181" s="12" t="n">
        <v>134.42</v>
      </c>
      <c r="X181" s="12" t="n">
        <v>152</v>
      </c>
      <c r="Y181" s="12" t="n">
        <v>336.8</v>
      </c>
      <c r="Z181" s="12" t="n">
        <v>7011.951</v>
      </c>
      <c r="AA181" s="12" t="n">
        <v>3664.84</v>
      </c>
      <c r="AB181" s="12" t="n">
        <v>1474.819</v>
      </c>
      <c r="AC181" s="12" t="n">
        <v>2582.85</v>
      </c>
      <c r="AD181" s="12" t="n">
        <v>398.9</v>
      </c>
      <c r="AE181" s="13">
        <f>SUM(C181,E181,G181,I181,K181,M181,O181,Q181,S181,U181,W181,Y181,AA181,AC181)</f>
        <v/>
      </c>
      <c r="AF181" s="13">
        <f>SUM(D181,F181,H181,J181,L181,N181,P181,R181,T181,V181,X181,Z181,AB181,AD181)</f>
        <v/>
      </c>
      <c r="AG181" s="13">
        <f>AE181+AF181</f>
        <v/>
      </c>
    </row>
    <row r="182">
      <c r="A182" s="5" t="n">
        <v>177</v>
      </c>
      <c r="B182" s="27" t="inlineStr">
        <is>
          <t>Nusaybin</t>
        </is>
      </c>
      <c r="C182" s="7" t="n">
        <v>43109.94</v>
      </c>
      <c r="D182" s="7" t="n">
        <v>151927.336</v>
      </c>
      <c r="E182" s="7" t="n">
        <v>24944.1</v>
      </c>
      <c r="F182" s="7" t="n">
        <v>86461.186</v>
      </c>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v>113</v>
      </c>
      <c r="AD182" s="7" t="n">
        <v>569</v>
      </c>
      <c r="AE182" s="8">
        <f>SUM(C182,E182,G182,I182,K182,M182,O182,Q182,S182,U182,W182,Y182,AA182,AC182)</f>
        <v/>
      </c>
      <c r="AF182" s="8">
        <f>SUM(D182,F182,H182,J182,L182,N182,P182,R182,T182,V182,X182,Z182,AB182,AD182)</f>
        <v/>
      </c>
      <c r="AG182" s="8">
        <f>AE182+AF182</f>
        <v/>
      </c>
    </row>
    <row r="183">
      <c r="A183" s="10" t="n">
        <v>178</v>
      </c>
      <c r="B183" s="28" t="inlineStr">
        <is>
          <t>Hacıbayram</t>
        </is>
      </c>
      <c r="C183" s="12" t="n">
        <v>21927.245</v>
      </c>
      <c r="D183" s="12" t="n">
        <v>20916.475</v>
      </c>
      <c r="E183" s="12" t="n">
        <v>24855.09</v>
      </c>
      <c r="F183" s="12" t="n">
        <v>23894.72</v>
      </c>
      <c r="G183" s="12" t="n">
        <v>14528.87</v>
      </c>
      <c r="H183" s="12" t="n">
        <v>15527.65</v>
      </c>
      <c r="I183" s="12" t="n"/>
      <c r="J183" s="12" t="n"/>
      <c r="K183" s="12" t="n"/>
      <c r="L183" s="12" t="n"/>
      <c r="M183" s="12" t="n"/>
      <c r="N183" s="12" t="n"/>
      <c r="O183" s="12" t="n"/>
      <c r="P183" s="12" t="n"/>
      <c r="Q183" s="12" t="n">
        <v>4059.655</v>
      </c>
      <c r="R183" s="12" t="n">
        <v>7864.4</v>
      </c>
      <c r="S183" s="12" t="n">
        <v>3979.87</v>
      </c>
      <c r="T183" s="12" t="n">
        <v>9969.803</v>
      </c>
      <c r="U183" s="12" t="n">
        <v>13061.474</v>
      </c>
      <c r="V183" s="12" t="n">
        <v>12832.163</v>
      </c>
      <c r="W183" s="12" t="n">
        <v>16557.77</v>
      </c>
      <c r="X183" s="12" t="n">
        <v>12491.821</v>
      </c>
      <c r="Y183" s="12" t="n">
        <v>26725.437</v>
      </c>
      <c r="Z183" s="12" t="n">
        <v>12912.793</v>
      </c>
      <c r="AA183" s="12" t="n">
        <v>25979.811</v>
      </c>
      <c r="AB183" s="12" t="n">
        <v>16649.57</v>
      </c>
      <c r="AC183" s="12" t="n">
        <v>11931.975</v>
      </c>
      <c r="AD183" s="12" t="n">
        <v>7597.25</v>
      </c>
      <c r="AE183" s="13">
        <f>SUM(C183,E183,G183,I183,K183,M183,O183,Q183,S183,U183,W183,Y183,AA183,AC183)</f>
        <v/>
      </c>
      <c r="AF183" s="13">
        <f>SUM(D183,F183,H183,J183,L183,N183,P183,R183,T183,V183,X183,Z183,AB183,AD183)</f>
        <v/>
      </c>
      <c r="AG183" s="13">
        <f>AE183+AF183</f>
        <v/>
      </c>
    </row>
    <row r="184">
      <c r="A184" s="5" t="n">
        <v>179</v>
      </c>
      <c r="B184" s="27" t="inlineStr">
        <is>
          <t>Eşme</t>
        </is>
      </c>
      <c r="C184" s="7" t="n"/>
      <c r="D184" s="7" t="n">
        <v>600</v>
      </c>
      <c r="E184" s="7" t="n">
        <v>2</v>
      </c>
      <c r="F184" s="7" t="n">
        <v>148883.8</v>
      </c>
      <c r="G184" s="7" t="n">
        <v>15882.8</v>
      </c>
      <c r="H184" s="7" t="n">
        <v>54554.575</v>
      </c>
      <c r="I184" s="7" t="n">
        <v>2266.335</v>
      </c>
      <c r="J184" s="7" t="n">
        <v>52545.86</v>
      </c>
      <c r="K184" s="7" t="n">
        <v>5652</v>
      </c>
      <c r="L184" s="7" t="n">
        <v>3203.08</v>
      </c>
      <c r="M184" s="7" t="n">
        <v>164.02</v>
      </c>
      <c r="N184" s="7" t="n">
        <v>321.675</v>
      </c>
      <c r="O184" s="7" t="n">
        <v>302.5</v>
      </c>
      <c r="P184" s="7" t="n">
        <v>9076</v>
      </c>
      <c r="Q184" s="7" t="n">
        <v>2140.035</v>
      </c>
      <c r="R184" s="7" t="n">
        <v>7985</v>
      </c>
      <c r="S184" s="7" t="n">
        <v>51</v>
      </c>
      <c r="T184" s="7" t="n"/>
      <c r="U184" s="7" t="n">
        <v>307.5</v>
      </c>
      <c r="V184" s="7" t="n">
        <v>24</v>
      </c>
      <c r="W184" s="7" t="n">
        <v>20</v>
      </c>
      <c r="X184" s="7" t="n">
        <v>18.5</v>
      </c>
      <c r="Y184" s="7" t="n">
        <v>0</v>
      </c>
      <c r="Z184" s="7" t="n"/>
      <c r="AA184" s="7" t="n"/>
      <c r="AB184" s="7" t="n"/>
      <c r="AC184" s="7" t="n"/>
      <c r="AD184" s="7" t="n"/>
      <c r="AE184" s="8">
        <f>SUM(C184,E184,G184,I184,K184,M184,O184,Q184,S184,U184,W184,Y184,AA184,AC184)</f>
        <v/>
      </c>
      <c r="AF184" s="8">
        <f>SUM(D184,F184,H184,J184,L184,N184,P184,R184,T184,V184,X184,Z184,AB184,AD184)</f>
        <v/>
      </c>
      <c r="AG184" s="8">
        <f>AE184+AF184</f>
        <v/>
      </c>
    </row>
    <row r="185">
      <c r="A185" s="10" t="n">
        <v>180</v>
      </c>
      <c r="B185" s="28" t="inlineStr">
        <is>
          <t>Gökçekısık</t>
        </is>
      </c>
      <c r="C185" s="12" t="n"/>
      <c r="D185" s="12" t="n"/>
      <c r="E185" s="12" t="n">
        <v>135937.81</v>
      </c>
      <c r="F185" s="12" t="n">
        <v>15</v>
      </c>
      <c r="G185" s="12" t="n">
        <v>58762.88</v>
      </c>
      <c r="H185" s="12" t="n">
        <v>6292</v>
      </c>
      <c r="I185" s="12" t="n">
        <v>31160.15</v>
      </c>
      <c r="J185" s="12" t="n"/>
      <c r="K185" s="12" t="n">
        <v>12171.5</v>
      </c>
      <c r="L185" s="12" t="n">
        <v>7382.11</v>
      </c>
      <c r="M185" s="12" t="n">
        <v>43</v>
      </c>
      <c r="N185" s="12" t="n">
        <v>150.12</v>
      </c>
      <c r="O185" s="12" t="n">
        <v>14.4</v>
      </c>
      <c r="P185" s="12" t="n"/>
      <c r="Q185" s="12" t="n"/>
      <c r="R185" s="12" t="n">
        <v>45</v>
      </c>
      <c r="S185" s="12" t="n"/>
      <c r="T185" s="12" t="n">
        <v>1883.94</v>
      </c>
      <c r="U185" s="12" t="n"/>
      <c r="V185" s="12" t="n">
        <v>214.8</v>
      </c>
      <c r="W185" s="12" t="n"/>
      <c r="X185" s="12" t="n">
        <v>559.64</v>
      </c>
      <c r="Y185" s="12" t="n"/>
      <c r="Z185" s="12" t="n"/>
      <c r="AA185" s="12" t="n">
        <v>7675</v>
      </c>
      <c r="AB185" s="12" t="n">
        <v>3803.205</v>
      </c>
      <c r="AC185" s="12" t="n">
        <v>23085.695</v>
      </c>
      <c r="AD185" s="12" t="n">
        <v>8907.969999999999</v>
      </c>
      <c r="AE185" s="13">
        <f>SUM(C185,E185,G185,I185,K185,M185,O185,Q185,S185,U185,W185,Y185,AA185,AC185)</f>
        <v/>
      </c>
      <c r="AF185" s="13">
        <f>SUM(D185,F185,H185,J185,L185,N185,P185,R185,T185,V185,X185,Z185,AB185,AD185)</f>
        <v/>
      </c>
      <c r="AG185" s="13">
        <f>AE185+AF185</f>
        <v/>
      </c>
    </row>
    <row r="186">
      <c r="A186" s="5" t="n">
        <v>181</v>
      </c>
      <c r="B186" s="27" t="inlineStr">
        <is>
          <t>Kapıköy</t>
        </is>
      </c>
      <c r="C186" s="7" t="n">
        <v>71.965</v>
      </c>
      <c r="D186" s="7" t="n">
        <v>5980.395</v>
      </c>
      <c r="E186" s="7" t="n">
        <v>45.5</v>
      </c>
      <c r="F186" s="7" t="n">
        <v>1785.49</v>
      </c>
      <c r="G186" s="7" t="n">
        <v>80.2</v>
      </c>
      <c r="H186" s="7" t="n">
        <v>1652.66</v>
      </c>
      <c r="I186" s="7" t="n">
        <v>25</v>
      </c>
      <c r="J186" s="7" t="n">
        <v>35335.316</v>
      </c>
      <c r="K186" s="7" t="n">
        <v>600</v>
      </c>
      <c r="L186" s="7" t="n">
        <v>117111.265</v>
      </c>
      <c r="M186" s="7" t="n">
        <v>553.23</v>
      </c>
      <c r="N186" s="7" t="n">
        <v>63293.995</v>
      </c>
      <c r="O186" s="7" t="n">
        <v>169.905</v>
      </c>
      <c r="P186" s="7" t="n">
        <v>19504.555</v>
      </c>
      <c r="Q186" s="7" t="n">
        <v>14157.025</v>
      </c>
      <c r="R186" s="7" t="n">
        <v>16507.935</v>
      </c>
      <c r="S186" s="7" t="n">
        <v>44.325</v>
      </c>
      <c r="T186" s="7" t="n">
        <v>1957.935</v>
      </c>
      <c r="U186" s="7" t="n">
        <v>202.5</v>
      </c>
      <c r="V186" s="7" t="n">
        <v>4662.244</v>
      </c>
      <c r="W186" s="7" t="n">
        <v>118</v>
      </c>
      <c r="X186" s="7" t="n">
        <v>2382.034</v>
      </c>
      <c r="Y186" s="7" t="n">
        <v>159.7</v>
      </c>
      <c r="Z186" s="7" t="n">
        <v>753.3049999999999</v>
      </c>
      <c r="AA186" s="7" t="n">
        <v>344.33</v>
      </c>
      <c r="AB186" s="7" t="n">
        <v>3577.08</v>
      </c>
      <c r="AC186" s="7" t="n">
        <v>78.64</v>
      </c>
      <c r="AD186" s="7" t="n">
        <v>275.215</v>
      </c>
      <c r="AE186" s="8">
        <f>SUM(C186,E186,G186,I186,K186,M186,O186,Q186,S186,U186,W186,Y186,AA186,AC186)</f>
        <v/>
      </c>
      <c r="AF186" s="8">
        <f>SUM(D186,F186,H186,J186,L186,N186,P186,R186,T186,V186,X186,Z186,AB186,AD186)</f>
        <v/>
      </c>
      <c r="AG186" s="8">
        <f>AE186+AF186</f>
        <v/>
      </c>
    </row>
    <row r="187">
      <c r="A187" s="10" t="n">
        <v>182</v>
      </c>
      <c r="B187" s="28" t="inlineStr">
        <is>
          <t>Karapınar</t>
        </is>
      </c>
      <c r="C187" s="12" t="n"/>
      <c r="D187" s="12" t="n"/>
      <c r="E187" s="12" t="n"/>
      <c r="F187" s="12" t="n"/>
      <c r="G187" s="12" t="n"/>
      <c r="H187" s="12" t="n"/>
      <c r="I187" s="12" t="n"/>
      <c r="J187" s="12" t="n">
        <v>13292.918</v>
      </c>
      <c r="K187" s="12" t="n"/>
      <c r="L187" s="12" t="n">
        <v>15824.628</v>
      </c>
      <c r="M187" s="12" t="n">
        <v>1215.305</v>
      </c>
      <c r="N187" s="12" t="n">
        <v>27870.929</v>
      </c>
      <c r="O187" s="12" t="n">
        <v>11339.37</v>
      </c>
      <c r="P187" s="12" t="n">
        <v>17917.7</v>
      </c>
      <c r="Q187" s="12" t="n"/>
      <c r="R187" s="12" t="n">
        <v>10418.287</v>
      </c>
      <c r="S187" s="12" t="n"/>
      <c r="T187" s="12" t="n">
        <v>18528.689</v>
      </c>
      <c r="U187" s="12" t="n">
        <v>6976.469</v>
      </c>
      <c r="V187" s="12" t="n">
        <v>19903.904</v>
      </c>
      <c r="W187" s="12" t="n">
        <v>2843.29</v>
      </c>
      <c r="X187" s="12" t="n">
        <v>17381.433</v>
      </c>
      <c r="Y187" s="12" t="n">
        <v>1714.12</v>
      </c>
      <c r="Z187" s="12" t="n">
        <v>15528.432</v>
      </c>
      <c r="AA187" s="12" t="n">
        <v>59762.06</v>
      </c>
      <c r="AB187" s="12" t="n">
        <v>34016.185</v>
      </c>
      <c r="AC187" s="12" t="n">
        <v>694.0700000000001</v>
      </c>
      <c r="AD187" s="12" t="n">
        <v>7986.123</v>
      </c>
      <c r="AE187" s="13">
        <f>SUM(C187,E187,G187,I187,K187,M187,O187,Q187,S187,U187,W187,Y187,AA187,AC187)</f>
        <v/>
      </c>
      <c r="AF187" s="13">
        <f>SUM(D187,F187,H187,J187,L187,N187,P187,R187,T187,V187,X187,Z187,AB187,AD187)</f>
        <v/>
      </c>
      <c r="AG187" s="13">
        <f>AE187+AF187</f>
        <v/>
      </c>
    </row>
    <row r="188">
      <c r="A188" s="5" t="n">
        <v>183</v>
      </c>
      <c r="B188" s="27" t="inlineStr">
        <is>
          <t>Balıkesir</t>
        </is>
      </c>
      <c r="C188" s="7" t="n">
        <v>12467.491</v>
      </c>
      <c r="D188" s="7" t="n">
        <v>84966.86</v>
      </c>
      <c r="E188" s="7" t="n">
        <v>16453.194</v>
      </c>
      <c r="F188" s="7" t="n">
        <v>87096.613</v>
      </c>
      <c r="G188" s="7" t="n">
        <v>3433.263</v>
      </c>
      <c r="H188" s="7" t="n">
        <v>8429.683000000001</v>
      </c>
      <c r="I188" s="7" t="n">
        <v>1189.987</v>
      </c>
      <c r="J188" s="7" t="n">
        <v>2791.398</v>
      </c>
      <c r="K188" s="7" t="n">
        <v>2469.349</v>
      </c>
      <c r="L188" s="7" t="n">
        <v>9106.558999999999</v>
      </c>
      <c r="M188" s="7" t="n">
        <v>1428.359</v>
      </c>
      <c r="N188" s="7" t="n">
        <v>3850.282</v>
      </c>
      <c r="O188" s="7" t="n">
        <v>1261.725</v>
      </c>
      <c r="P188" s="7" t="n">
        <v>7777.675</v>
      </c>
      <c r="Q188" s="7" t="n">
        <v>1048.68</v>
      </c>
      <c r="R188" s="7" t="n">
        <v>1975.716</v>
      </c>
      <c r="S188" s="7" t="n">
        <v>2278</v>
      </c>
      <c r="T188" s="7" t="n">
        <v>2886.903</v>
      </c>
      <c r="U188" s="7" t="n">
        <v>1709.23</v>
      </c>
      <c r="V188" s="7" t="n">
        <v>3215.613</v>
      </c>
      <c r="W188" s="7" t="n">
        <v>1665.898</v>
      </c>
      <c r="X188" s="7" t="n">
        <v>2412.907</v>
      </c>
      <c r="Y188" s="7" t="n">
        <v>1650.546</v>
      </c>
      <c r="Z188" s="7" t="n">
        <v>2540.897</v>
      </c>
      <c r="AA188" s="7" t="n">
        <v>1133.422</v>
      </c>
      <c r="AB188" s="7" t="n">
        <v>1743.088</v>
      </c>
      <c r="AC188" s="7" t="n">
        <v>1016.974</v>
      </c>
      <c r="AD188" s="7" t="n">
        <v>993.63</v>
      </c>
      <c r="AE188" s="8">
        <f>SUM(C188,E188,G188,I188,K188,M188,O188,Q188,S188,U188,W188,Y188,AA188,AC188)</f>
        <v/>
      </c>
      <c r="AF188" s="8">
        <f>SUM(D188,F188,H188,J188,L188,N188,P188,R188,T188,V188,X188,Z188,AB188,AD188)</f>
        <v/>
      </c>
      <c r="AG188" s="8">
        <f>AE188+AF188</f>
        <v/>
      </c>
    </row>
    <row r="189">
      <c r="A189" s="10" t="n">
        <v>184</v>
      </c>
      <c r="B189" s="28" t="inlineStr">
        <is>
          <t>Dazkırı</t>
        </is>
      </c>
      <c r="C189" s="12" t="n">
        <v>55531.428</v>
      </c>
      <c r="D189" s="12" t="n">
        <v>7521.63</v>
      </c>
      <c r="E189" s="12" t="n">
        <v>47430.786</v>
      </c>
      <c r="F189" s="12" t="n">
        <v>68649.55</v>
      </c>
      <c r="G189" s="12" t="n">
        <v>6000</v>
      </c>
      <c r="H189" s="12" t="n">
        <v>5198.32</v>
      </c>
      <c r="I189" s="12" t="n">
        <v>13044</v>
      </c>
      <c r="J189" s="12" t="n">
        <v>1339.75</v>
      </c>
      <c r="K189" s="12" t="n">
        <v>1679.3</v>
      </c>
      <c r="L189" s="12" t="n">
        <v>30</v>
      </c>
      <c r="M189" s="12" t="n">
        <v>7552.27</v>
      </c>
      <c r="N189" s="12" t="n">
        <v>4464</v>
      </c>
      <c r="O189" s="12" t="n">
        <v>11220.01</v>
      </c>
      <c r="P189" s="12" t="n">
        <v>20229.85</v>
      </c>
      <c r="Q189" s="12" t="n"/>
      <c r="R189" s="12" t="n">
        <v>4196</v>
      </c>
      <c r="S189" s="12" t="n"/>
      <c r="T189" s="12" t="n"/>
      <c r="U189" s="12" t="n">
        <v>8847.879999999999</v>
      </c>
      <c r="V189" s="12" t="n">
        <v>938.78</v>
      </c>
      <c r="W189" s="12" t="n">
        <v>1971.6</v>
      </c>
      <c r="X189" s="12" t="n">
        <v>291.5</v>
      </c>
      <c r="Y189" s="12" t="n"/>
      <c r="Z189" s="12" t="n"/>
      <c r="AA189" s="12" t="n"/>
      <c r="AB189" s="12" t="n">
        <v>0</v>
      </c>
      <c r="AC189" s="12" t="n"/>
      <c r="AD189" s="12" t="n"/>
      <c r="AE189" s="13">
        <f>SUM(C189,E189,G189,I189,K189,M189,O189,Q189,S189,U189,W189,Y189,AA189,AC189)</f>
        <v/>
      </c>
      <c r="AF189" s="13">
        <f>SUM(D189,F189,H189,J189,L189,N189,P189,R189,T189,V189,X189,Z189,AB189,AD189)</f>
        <v/>
      </c>
      <c r="AG189" s="13">
        <f>AE189+AF189</f>
        <v/>
      </c>
    </row>
    <row r="190">
      <c r="A190" s="5" t="n">
        <v>185</v>
      </c>
      <c r="B190" s="27" t="inlineStr">
        <is>
          <t>Nurdağ</t>
        </is>
      </c>
      <c r="C190" s="7" t="n">
        <v>3567</v>
      </c>
      <c r="D190" s="7" t="n">
        <v>26597.7</v>
      </c>
      <c r="E190" s="7" t="n">
        <v>7311</v>
      </c>
      <c r="F190" s="7" t="n">
        <v>30040.08</v>
      </c>
      <c r="G190" s="7" t="n">
        <v>38801</v>
      </c>
      <c r="H190" s="7" t="n">
        <v>44613.395</v>
      </c>
      <c r="I190" s="7" t="n">
        <v>1067.9</v>
      </c>
      <c r="J190" s="7" t="n">
        <v>10264.62</v>
      </c>
      <c r="K190" s="7" t="n">
        <v>838.09</v>
      </c>
      <c r="L190" s="7" t="n">
        <v>3505</v>
      </c>
      <c r="M190" s="7" t="n">
        <v>5684.035</v>
      </c>
      <c r="N190" s="7" t="n">
        <v>15106.795</v>
      </c>
      <c r="O190" s="7" t="n">
        <v>19794.255</v>
      </c>
      <c r="P190" s="7" t="n">
        <v>41133.21</v>
      </c>
      <c r="Q190" s="7" t="n">
        <v>193.74</v>
      </c>
      <c r="R190" s="7" t="n">
        <v>3375</v>
      </c>
      <c r="S190" s="7" t="n">
        <v>259.935</v>
      </c>
      <c r="T190" s="7" t="n">
        <v>3039.05</v>
      </c>
      <c r="U190" s="7" t="n">
        <v>2646.98</v>
      </c>
      <c r="V190" s="7" t="n">
        <v>4367.5</v>
      </c>
      <c r="W190" s="7" t="n">
        <v>56</v>
      </c>
      <c r="X190" s="7" t="n">
        <v>401</v>
      </c>
      <c r="Y190" s="7" t="n"/>
      <c r="Z190" s="7" t="n"/>
      <c r="AA190" s="7" t="n"/>
      <c r="AB190" s="7" t="n"/>
      <c r="AC190" s="7" t="n"/>
      <c r="AD190" s="7" t="n"/>
      <c r="AE190" s="8">
        <f>SUM(C190,E190,G190,I190,K190,M190,O190,Q190,S190,U190,W190,Y190,AA190,AC190)</f>
        <v/>
      </c>
      <c r="AF190" s="8">
        <f>SUM(D190,F190,H190,J190,L190,N190,P190,R190,T190,V190,X190,Z190,AB190,AD190)</f>
        <v/>
      </c>
      <c r="AG190" s="8">
        <f>AE190+AF190</f>
        <v/>
      </c>
    </row>
    <row r="191">
      <c r="A191" s="10" t="n">
        <v>186</v>
      </c>
      <c r="B191" s="28" t="inlineStr">
        <is>
          <t>Bor</t>
        </is>
      </c>
      <c r="C191" s="12" t="n">
        <v>34627.2</v>
      </c>
      <c r="D191" s="12" t="n">
        <v>2496.45</v>
      </c>
      <c r="E191" s="12" t="n">
        <v>22846.15</v>
      </c>
      <c r="F191" s="12" t="n">
        <v>2681.995</v>
      </c>
      <c r="G191" s="12" t="n">
        <v>19395.6</v>
      </c>
      <c r="H191" s="12" t="n">
        <v>5926.909</v>
      </c>
      <c r="I191" s="12" t="n">
        <v>12871.4</v>
      </c>
      <c r="J191" s="12" t="n">
        <v>4217.974</v>
      </c>
      <c r="K191" s="12" t="n">
        <v>16287.4</v>
      </c>
      <c r="L191" s="12" t="n">
        <v>1873.972</v>
      </c>
      <c r="M191" s="12" t="n">
        <v>20153.8</v>
      </c>
      <c r="N191" s="12" t="n">
        <v>1498.21</v>
      </c>
      <c r="O191" s="12" t="n">
        <v>24625.6</v>
      </c>
      <c r="P191" s="12" t="n">
        <v>3361.575</v>
      </c>
      <c r="Q191" s="12" t="n">
        <v>18894.75</v>
      </c>
      <c r="R191" s="12" t="n">
        <v>1284.221</v>
      </c>
      <c r="S191" s="12" t="n">
        <v>19944.85</v>
      </c>
      <c r="T191" s="12" t="n">
        <v>2157.254</v>
      </c>
      <c r="U191" s="12" t="n">
        <v>6912.905</v>
      </c>
      <c r="V191" s="12" t="n">
        <v>2324.936</v>
      </c>
      <c r="W191" s="12" t="n">
        <v>9271.700000000001</v>
      </c>
      <c r="X191" s="12" t="n">
        <v>2188.537</v>
      </c>
      <c r="Y191" s="12" t="n">
        <v>9401.200000000001</v>
      </c>
      <c r="Z191" s="12" t="n">
        <v>2319.676</v>
      </c>
      <c r="AA191" s="12" t="n">
        <v>6961</v>
      </c>
      <c r="AB191" s="12" t="n">
        <v>1877.533</v>
      </c>
      <c r="AC191" s="12" t="n">
        <v>2813</v>
      </c>
      <c r="AD191" s="12" t="n">
        <v>1224.851</v>
      </c>
      <c r="AE191" s="13">
        <f>SUM(C191,E191,G191,I191,K191,M191,O191,Q191,S191,U191,W191,Y191,AA191,AC191)</f>
        <v/>
      </c>
      <c r="AF191" s="13">
        <f>SUM(D191,F191,H191,J191,L191,N191,P191,R191,T191,V191,X191,Z191,AB191,AD191)</f>
        <v/>
      </c>
      <c r="AG191" s="13">
        <f>AE191+AF191</f>
        <v/>
      </c>
    </row>
    <row r="192">
      <c r="A192" s="5" t="n">
        <v>187</v>
      </c>
      <c r="B192" s="27" t="inlineStr">
        <is>
          <t>İncesu</t>
        </is>
      </c>
      <c r="C192" s="7" t="n">
        <v>18454.4</v>
      </c>
      <c r="D192" s="7" t="n">
        <v>90722.13499999999</v>
      </c>
      <c r="E192" s="7" t="n">
        <v>15908.71</v>
      </c>
      <c r="F192" s="7" t="n">
        <v>62683.03</v>
      </c>
      <c r="G192" s="7" t="n">
        <v>6089.35</v>
      </c>
      <c r="H192" s="7" t="n">
        <v>10255.77</v>
      </c>
      <c r="I192" s="7" t="n">
        <v>3895.73</v>
      </c>
      <c r="J192" s="7" t="n">
        <v>20260.01</v>
      </c>
      <c r="K192" s="7" t="n">
        <v>7486.786</v>
      </c>
      <c r="L192" s="7" t="n">
        <v>4116.796</v>
      </c>
      <c r="M192" s="7" t="n">
        <v>31.85</v>
      </c>
      <c r="N192" s="7" t="n">
        <v>2346.85</v>
      </c>
      <c r="O192" s="7" t="n"/>
      <c r="P192" s="7" t="n">
        <v>583</v>
      </c>
      <c r="Q192" s="7" t="n"/>
      <c r="R192" s="7" t="n">
        <v>655</v>
      </c>
      <c r="S192" s="7" t="n"/>
      <c r="T192" s="7" t="n"/>
      <c r="U192" s="7" t="n"/>
      <c r="V192" s="7" t="n"/>
      <c r="W192" s="7" t="n"/>
      <c r="X192" s="7" t="n"/>
      <c r="Y192" s="7" t="n"/>
      <c r="Z192" s="7" t="n"/>
      <c r="AA192" s="7" t="n"/>
      <c r="AB192" s="7" t="n">
        <v>2392.4</v>
      </c>
      <c r="AC192" s="7" t="n"/>
      <c r="AD192" s="7" t="n">
        <v>5021.9</v>
      </c>
      <c r="AE192" s="8">
        <f>SUM(C192,E192,G192,I192,K192,M192,O192,Q192,S192,U192,W192,Y192,AA192,AC192)</f>
        <v/>
      </c>
      <c r="AF192" s="8">
        <f>SUM(D192,F192,H192,J192,L192,N192,P192,R192,T192,V192,X192,Z192,AB192,AD192)</f>
        <v/>
      </c>
      <c r="AG192" s="8">
        <f>AE192+AF192</f>
        <v/>
      </c>
    </row>
    <row r="193">
      <c r="A193" s="10" t="n">
        <v>188</v>
      </c>
      <c r="B193" s="28" t="inlineStr">
        <is>
          <t>Özalp</t>
        </is>
      </c>
      <c r="C193" s="12" t="n"/>
      <c r="D193" s="12" t="n"/>
      <c r="E193" s="12" t="n">
        <v>0</v>
      </c>
      <c r="F193" s="12" t="n">
        <v>46095.37</v>
      </c>
      <c r="G193" s="12" t="n"/>
      <c r="H193" s="12" t="n">
        <v>57508.98</v>
      </c>
      <c r="I193" s="12" t="n"/>
      <c r="J193" s="12" t="n">
        <v>1116.2</v>
      </c>
      <c r="K193" s="12" t="n"/>
      <c r="L193" s="12" t="n">
        <v>2118</v>
      </c>
      <c r="M193" s="12" t="n"/>
      <c r="N193" s="12" t="n">
        <v>83732.2</v>
      </c>
      <c r="O193" s="12" t="n"/>
      <c r="P193" s="12" t="n">
        <v>27089.75</v>
      </c>
      <c r="Q193" s="12" t="n">
        <v>11949</v>
      </c>
      <c r="R193" s="12" t="n">
        <v>14918.435</v>
      </c>
      <c r="S193" s="12" t="n"/>
      <c r="T193" s="12" t="n">
        <v>1414</v>
      </c>
      <c r="U193" s="12" t="n"/>
      <c r="V193" s="12" t="n"/>
      <c r="W193" s="12" t="n"/>
      <c r="X193" s="12" t="n"/>
      <c r="Y193" s="12" t="n"/>
      <c r="Z193" s="12" t="n"/>
      <c r="AA193" s="12" t="n"/>
      <c r="AB193" s="12" t="n"/>
      <c r="AC193" s="12" t="n"/>
      <c r="AD193" s="12" t="n"/>
      <c r="AE193" s="13">
        <f>SUM(C193,E193,G193,I193,K193,M193,O193,Q193,S193,U193,W193,Y193,AA193,AC193)</f>
        <v/>
      </c>
      <c r="AF193" s="13">
        <f>SUM(D193,F193,H193,J193,L193,N193,P193,R193,T193,V193,X193,Z193,AB193,AD193)</f>
        <v/>
      </c>
      <c r="AG193" s="13">
        <f>AE193+AF193</f>
        <v/>
      </c>
    </row>
    <row r="194">
      <c r="A194" s="5" t="n">
        <v>189</v>
      </c>
      <c r="B194" s="27" t="inlineStr">
        <is>
          <t>Bilecik</t>
        </is>
      </c>
      <c r="C194" s="7" t="n">
        <v>4862.77</v>
      </c>
      <c r="D194" s="7" t="n">
        <v>59542.384</v>
      </c>
      <c r="E194" s="7" t="n">
        <v>12998.96</v>
      </c>
      <c r="F194" s="7" t="n">
        <v>40899.46</v>
      </c>
      <c r="G194" s="7" t="n">
        <v>8068.39</v>
      </c>
      <c r="H194" s="7" t="n">
        <v>17608.82</v>
      </c>
      <c r="I194" s="7" t="n">
        <v>2600.325</v>
      </c>
      <c r="J194" s="7" t="n">
        <v>1883.685</v>
      </c>
      <c r="K194" s="7" t="n">
        <v>1058.3</v>
      </c>
      <c r="L194" s="7" t="n">
        <v>353</v>
      </c>
      <c r="M194" s="7" t="n">
        <v>7795.032</v>
      </c>
      <c r="N194" s="7" t="n">
        <v>38340.96</v>
      </c>
      <c r="O194" s="7" t="n">
        <v>2963.08</v>
      </c>
      <c r="P194" s="7" t="n">
        <v>4671.04</v>
      </c>
      <c r="Q194" s="7" t="n">
        <v>3646.242</v>
      </c>
      <c r="R194" s="7" t="n">
        <v>4925.787</v>
      </c>
      <c r="S194" s="7" t="n">
        <v>5418.28</v>
      </c>
      <c r="T194" s="7" t="n">
        <v>2763.255</v>
      </c>
      <c r="U194" s="7" t="n">
        <v>7569.113</v>
      </c>
      <c r="V194" s="7" t="n">
        <v>784.8200000000001</v>
      </c>
      <c r="W194" s="7" t="n">
        <v>683.455</v>
      </c>
      <c r="X194" s="7" t="n">
        <v>407.71</v>
      </c>
      <c r="Y194" s="7" t="n">
        <v>7271.28</v>
      </c>
      <c r="Z194" s="7" t="n">
        <v>102.55</v>
      </c>
      <c r="AA194" s="7" t="n">
        <v>2759.77</v>
      </c>
      <c r="AB194" s="7" t="n">
        <v>3701.5</v>
      </c>
      <c r="AC194" s="7" t="n">
        <v>2016.153</v>
      </c>
      <c r="AD194" s="7" t="n">
        <v>37</v>
      </c>
      <c r="AE194" s="8">
        <f>SUM(C194,E194,G194,I194,K194,M194,O194,Q194,S194,U194,W194,Y194,AA194,AC194)</f>
        <v/>
      </c>
      <c r="AF194" s="8">
        <f>SUM(D194,F194,H194,J194,L194,N194,P194,R194,T194,V194,X194,Z194,AB194,AD194)</f>
        <v/>
      </c>
      <c r="AG194" s="8">
        <f>AE194+AF194</f>
        <v/>
      </c>
    </row>
    <row r="195">
      <c r="A195" s="10" t="n">
        <v>190</v>
      </c>
      <c r="B195" s="28" t="inlineStr">
        <is>
          <t>Osmaniye</t>
        </is>
      </c>
      <c r="C195" s="12" t="n">
        <v>38151.43</v>
      </c>
      <c r="D195" s="12" t="n">
        <v>11221.5</v>
      </c>
      <c r="E195" s="12" t="n">
        <v>45</v>
      </c>
      <c r="F195" s="12" t="n">
        <v>18232.9</v>
      </c>
      <c r="G195" s="12" t="n">
        <v>2711.1</v>
      </c>
      <c r="H195" s="12" t="n">
        <v>20975.45</v>
      </c>
      <c r="I195" s="12" t="n">
        <v>36557</v>
      </c>
      <c r="J195" s="12" t="n">
        <v>15469.35</v>
      </c>
      <c r="K195" s="12" t="n">
        <v>3801.115</v>
      </c>
      <c r="L195" s="12" t="n">
        <v>8310.235000000001</v>
      </c>
      <c r="M195" s="12" t="n">
        <v>900</v>
      </c>
      <c r="N195" s="12" t="n">
        <v>28376.875</v>
      </c>
      <c r="O195" s="12" t="n"/>
      <c r="P195" s="12" t="n">
        <v>13137.28</v>
      </c>
      <c r="Q195" s="12" t="n">
        <v>851.59</v>
      </c>
      <c r="R195" s="12" t="n">
        <v>10322</v>
      </c>
      <c r="S195" s="12" t="n">
        <v>854.245</v>
      </c>
      <c r="T195" s="12" t="n">
        <v>14475.36</v>
      </c>
      <c r="U195" s="12" t="n">
        <v>274.25</v>
      </c>
      <c r="V195" s="12" t="n">
        <v>12925.396</v>
      </c>
      <c r="W195" s="12" t="n">
        <v>2652.74</v>
      </c>
      <c r="X195" s="12" t="n">
        <v>3521.31</v>
      </c>
      <c r="Y195" s="12" t="n"/>
      <c r="Z195" s="12" t="n"/>
      <c r="AA195" s="12" t="n"/>
      <c r="AB195" s="12" t="n"/>
      <c r="AC195" s="12" t="n"/>
      <c r="AD195" s="12" t="n"/>
      <c r="AE195" s="13">
        <f>SUM(C195,E195,G195,I195,K195,M195,O195,Q195,S195,U195,W195,Y195,AA195,AC195)</f>
        <v/>
      </c>
      <c r="AF195" s="13">
        <f>SUM(D195,F195,H195,J195,L195,N195,P195,R195,T195,V195,X195,Z195,AB195,AD195)</f>
        <v/>
      </c>
      <c r="AG195" s="13">
        <f>AE195+AF195</f>
        <v/>
      </c>
    </row>
    <row r="196">
      <c r="A196" s="5" t="n">
        <v>191</v>
      </c>
      <c r="B196" s="27" t="inlineStr">
        <is>
          <t>Horasan</t>
        </is>
      </c>
      <c r="C196" s="7" t="n">
        <v>4737.54</v>
      </c>
      <c r="D196" s="7" t="n">
        <v>15047.26</v>
      </c>
      <c r="E196" s="7" t="n">
        <v>274.191</v>
      </c>
      <c r="F196" s="7" t="n">
        <v>37617.2</v>
      </c>
      <c r="G196" s="7" t="n">
        <v>6923.18</v>
      </c>
      <c r="H196" s="7" t="n">
        <v>24237.094</v>
      </c>
      <c r="I196" s="7" t="n">
        <v>1257.31</v>
      </c>
      <c r="J196" s="7" t="n">
        <v>38823.355</v>
      </c>
      <c r="K196" s="7" t="n">
        <v>5118.635</v>
      </c>
      <c r="L196" s="7" t="n">
        <v>13268.372</v>
      </c>
      <c r="M196" s="7" t="n">
        <v>11.1</v>
      </c>
      <c r="N196" s="7" t="n">
        <v>18627.745</v>
      </c>
      <c r="O196" s="7" t="n">
        <v>6317.665</v>
      </c>
      <c r="P196" s="7" t="n">
        <v>10419.87</v>
      </c>
      <c r="Q196" s="7" t="n">
        <v>470</v>
      </c>
      <c r="R196" s="7" t="n">
        <v>4911.282</v>
      </c>
      <c r="S196" s="7" t="n">
        <v>479.555</v>
      </c>
      <c r="T196" s="7" t="n">
        <v>5666.97</v>
      </c>
      <c r="U196" s="7" t="n">
        <v>1870.9</v>
      </c>
      <c r="V196" s="7" t="n">
        <v>15114.808</v>
      </c>
      <c r="W196" s="7" t="n">
        <v>1411.899</v>
      </c>
      <c r="X196" s="7" t="n">
        <v>2732.054</v>
      </c>
      <c r="Y196" s="7" t="n">
        <v>278.61</v>
      </c>
      <c r="Z196" s="7" t="n">
        <v>714.885</v>
      </c>
      <c r="AA196" s="7" t="n">
        <v>285.379</v>
      </c>
      <c r="AB196" s="7" t="n">
        <v>8375.008</v>
      </c>
      <c r="AC196" s="7" t="n"/>
      <c r="AD196" s="7" t="n">
        <v>544.175</v>
      </c>
      <c r="AE196" s="8">
        <f>SUM(C196,E196,G196,I196,K196,M196,O196,Q196,S196,U196,W196,Y196,AA196,AC196)</f>
        <v/>
      </c>
      <c r="AF196" s="8">
        <f>SUM(D196,F196,H196,J196,L196,N196,P196,R196,T196,V196,X196,Z196,AB196,AD196)</f>
        <v/>
      </c>
      <c r="AG196" s="8">
        <f>AE196+AF196</f>
        <v/>
      </c>
    </row>
    <row r="197">
      <c r="A197" s="10" t="n">
        <v>192</v>
      </c>
      <c r="B197" s="28" t="inlineStr">
        <is>
          <t>(Silinecek) Dik</t>
        </is>
      </c>
      <c r="C197" s="12" t="n"/>
      <c r="D197" s="12" t="n"/>
      <c r="E197" s="12" t="n">
        <v>182067.2</v>
      </c>
      <c r="F197" s="12" t="n">
        <v>34874</v>
      </c>
      <c r="G197" s="12" t="n"/>
      <c r="H197" s="12" t="n"/>
      <c r="I197" s="12" t="n"/>
      <c r="J197" s="12" t="n"/>
      <c r="K197" s="12" t="n"/>
      <c r="L197" s="12" t="n">
        <v>401</v>
      </c>
      <c r="M197" s="12" t="n">
        <v>148.8</v>
      </c>
      <c r="N197" s="12" t="n">
        <v>3239</v>
      </c>
      <c r="O197" s="12" t="n"/>
      <c r="P197" s="12" t="n"/>
      <c r="Q197" s="12" t="n"/>
      <c r="R197" s="12" t="n"/>
      <c r="S197" s="12" t="n"/>
      <c r="T197" s="12" t="n"/>
      <c r="U197" s="12" t="n"/>
      <c r="V197" s="12" t="n"/>
      <c r="W197" s="12" t="n"/>
      <c r="X197" s="12" t="n"/>
      <c r="Y197" s="12" t="n"/>
      <c r="Z197" s="12" t="n"/>
      <c r="AA197" s="12" t="n"/>
      <c r="AB197" s="12" t="n"/>
      <c r="AC197" s="12" t="n"/>
      <c r="AD197" s="12" t="n"/>
      <c r="AE197" s="13">
        <f>SUM(C197,E197,G197,I197,K197,M197,O197,Q197,S197,U197,W197,Y197,AA197,AC197)</f>
        <v/>
      </c>
      <c r="AF197" s="13">
        <f>SUM(D197,F197,H197,J197,L197,N197,P197,R197,T197,V197,X197,Z197,AB197,AD197)</f>
        <v/>
      </c>
      <c r="AG197" s="13">
        <f>AE197+AF197</f>
        <v/>
      </c>
    </row>
    <row r="198">
      <c r="A198" s="5" t="n">
        <v>193</v>
      </c>
      <c r="B198" s="27" t="inlineStr">
        <is>
          <t>Mithatpaşa</t>
        </is>
      </c>
      <c r="C198" s="7" t="n">
        <v>3270</v>
      </c>
      <c r="D198" s="7" t="n">
        <v>1358.6</v>
      </c>
      <c r="E198" s="7" t="n">
        <v>9279.108</v>
      </c>
      <c r="F198" s="7" t="n">
        <v>5427.045</v>
      </c>
      <c r="G198" s="7" t="n">
        <v>9549.540000000001</v>
      </c>
      <c r="H198" s="7" t="n">
        <v>5053.233</v>
      </c>
      <c r="I198" s="7" t="n">
        <v>11718</v>
      </c>
      <c r="J198" s="7" t="n">
        <v>9489.296</v>
      </c>
      <c r="K198" s="7" t="n">
        <v>11692.1</v>
      </c>
      <c r="L198" s="7" t="n">
        <v>12403.99</v>
      </c>
      <c r="M198" s="7" t="n">
        <v>5423.9</v>
      </c>
      <c r="N198" s="7" t="n">
        <v>7253.6</v>
      </c>
      <c r="O198" s="7" t="n">
        <v>9390.950000000001</v>
      </c>
      <c r="P198" s="7" t="n">
        <v>9921.965</v>
      </c>
      <c r="Q198" s="7" t="n">
        <v>3609.695</v>
      </c>
      <c r="R198" s="7" t="n">
        <v>6509.355</v>
      </c>
      <c r="S198" s="7" t="n">
        <v>8906.17</v>
      </c>
      <c r="T198" s="7" t="n">
        <v>9925.828</v>
      </c>
      <c r="U198" s="7" t="n">
        <v>10992.68</v>
      </c>
      <c r="V198" s="7" t="n">
        <v>9057.014999999999</v>
      </c>
      <c r="W198" s="7" t="n">
        <v>8481.620000000001</v>
      </c>
      <c r="X198" s="7" t="n">
        <v>7804.19</v>
      </c>
      <c r="Y198" s="7" t="n">
        <v>9452.26</v>
      </c>
      <c r="Z198" s="7" t="n">
        <v>8140.257</v>
      </c>
      <c r="AA198" s="7" t="n">
        <v>10303</v>
      </c>
      <c r="AB198" s="7" t="n">
        <v>3763.633</v>
      </c>
      <c r="AC198" s="7" t="n">
        <v>5863.3</v>
      </c>
      <c r="AD198" s="7" t="n">
        <v>2609.929</v>
      </c>
      <c r="AE198" s="8">
        <f>SUM(C198,E198,G198,I198,K198,M198,O198,Q198,S198,U198,W198,Y198,AA198,AC198)</f>
        <v/>
      </c>
      <c r="AF198" s="8">
        <f>SUM(D198,F198,H198,J198,L198,N198,P198,R198,T198,V198,X198,Z198,AB198,AD198)</f>
        <v/>
      </c>
      <c r="AG198" s="8">
        <f>AE198+AF198</f>
        <v/>
      </c>
    </row>
    <row r="199">
      <c r="A199" s="10" t="n">
        <v>194</v>
      </c>
      <c r="B199" s="28" t="inlineStr">
        <is>
          <t>Karaman</t>
        </is>
      </c>
      <c r="C199" s="12" t="n">
        <v>8616.985000000001</v>
      </c>
      <c r="D199" s="12" t="n">
        <v>80973.28</v>
      </c>
      <c r="E199" s="12" t="n">
        <v>923.61</v>
      </c>
      <c r="F199" s="12" t="n">
        <v>46810.65</v>
      </c>
      <c r="G199" s="12" t="n">
        <v>1334.275</v>
      </c>
      <c r="H199" s="12" t="n">
        <v>2175.49</v>
      </c>
      <c r="I199" s="12" t="n">
        <v>1</v>
      </c>
      <c r="J199" s="12" t="n">
        <v>3740.48</v>
      </c>
      <c r="K199" s="12" t="n">
        <v>65.36</v>
      </c>
      <c r="L199" s="12" t="n">
        <v>1083.91</v>
      </c>
      <c r="M199" s="12" t="n">
        <v>1000.805</v>
      </c>
      <c r="N199" s="12" t="n">
        <v>2316.57</v>
      </c>
      <c r="O199" s="12" t="n">
        <v>2671.905</v>
      </c>
      <c r="P199" s="12" t="n">
        <v>2188.66</v>
      </c>
      <c r="Q199" s="12" t="n">
        <v>2153.67</v>
      </c>
      <c r="R199" s="12" t="n">
        <v>2734.02</v>
      </c>
      <c r="S199" s="12" t="n">
        <v>17752.7</v>
      </c>
      <c r="T199" s="12" t="n">
        <v>13853.58</v>
      </c>
      <c r="U199" s="12" t="n">
        <v>133.76</v>
      </c>
      <c r="V199" s="12" t="n">
        <v>1151.46</v>
      </c>
      <c r="W199" s="12" t="n">
        <v>312.34</v>
      </c>
      <c r="X199" s="12" t="n">
        <v>4129.42</v>
      </c>
      <c r="Y199" s="12" t="n">
        <v>92.91</v>
      </c>
      <c r="Z199" s="12" t="n">
        <v>733.36</v>
      </c>
      <c r="AA199" s="12" t="n">
        <v>942.76</v>
      </c>
      <c r="AB199" s="12" t="n">
        <v>1013.78</v>
      </c>
      <c r="AC199" s="12" t="n">
        <v>5970.55</v>
      </c>
      <c r="AD199" s="12" t="n">
        <v>9923.860000000001</v>
      </c>
      <c r="AE199" s="13">
        <f>SUM(C199,E199,G199,I199,K199,M199,O199,Q199,S199,U199,W199,Y199,AA199,AC199)</f>
        <v/>
      </c>
      <c r="AF199" s="13">
        <f>SUM(D199,F199,H199,J199,L199,N199,P199,R199,T199,V199,X199,Z199,AB199,AD199)</f>
        <v/>
      </c>
      <c r="AG199" s="13">
        <f>AE199+AF199</f>
        <v/>
      </c>
    </row>
    <row r="200">
      <c r="A200" s="5" t="n">
        <v>195</v>
      </c>
      <c r="B200" s="27" t="inlineStr">
        <is>
          <t>Sandıklı</t>
        </is>
      </c>
      <c r="C200" s="7" t="n">
        <v>44440</v>
      </c>
      <c r="D200" s="7" t="n">
        <v>724.865</v>
      </c>
      <c r="E200" s="7" t="n">
        <v>55547</v>
      </c>
      <c r="F200" s="7" t="n">
        <v>1842.7</v>
      </c>
      <c r="G200" s="7" t="n">
        <v>30098</v>
      </c>
      <c r="H200" s="7" t="n">
        <v>1414.02</v>
      </c>
      <c r="I200" s="7" t="n">
        <v>13669.87</v>
      </c>
      <c r="J200" s="7" t="n">
        <v>52298.78</v>
      </c>
      <c r="K200" s="7" t="n">
        <v>1398.34</v>
      </c>
      <c r="L200" s="7" t="n">
        <v>1134.393</v>
      </c>
      <c r="M200" s="7" t="n">
        <v>183.325</v>
      </c>
      <c r="N200" s="7" t="n">
        <v>241.6</v>
      </c>
      <c r="O200" s="7" t="n">
        <v>25</v>
      </c>
      <c r="P200" s="7" t="n">
        <v>1076</v>
      </c>
      <c r="Q200" s="7" t="n">
        <v>70.91</v>
      </c>
      <c r="R200" s="7" t="n">
        <v>118.82</v>
      </c>
      <c r="S200" s="7" t="n"/>
      <c r="T200" s="7" t="n"/>
      <c r="U200" s="7" t="n">
        <v>68.72</v>
      </c>
      <c r="V200" s="7" t="n">
        <v>56.6</v>
      </c>
      <c r="W200" s="7" t="n">
        <v>305</v>
      </c>
      <c r="X200" s="7" t="n"/>
      <c r="Y200" s="7" t="n">
        <v>48</v>
      </c>
      <c r="Z200" s="7" t="n">
        <v>100</v>
      </c>
      <c r="AA200" s="7" t="n">
        <v>216.36</v>
      </c>
      <c r="AB200" s="7" t="n">
        <v>81.91</v>
      </c>
      <c r="AC200" s="7" t="n"/>
      <c r="AD200" s="7" t="n"/>
      <c r="AE200" s="8">
        <f>SUM(C200,E200,G200,I200,K200,M200,O200,Q200,S200,U200,W200,Y200,AA200,AC200)</f>
        <v/>
      </c>
      <c r="AF200" s="8">
        <f>SUM(D200,F200,H200,J200,L200,N200,P200,R200,T200,V200,X200,Z200,AB200,AD200)</f>
        <v/>
      </c>
      <c r="AG200" s="8">
        <f>AE200+AF200</f>
        <v/>
      </c>
    </row>
    <row r="201">
      <c r="A201" s="10" t="n">
        <v>196</v>
      </c>
      <c r="B201" s="28" t="inlineStr">
        <is>
          <t>Kangal</t>
        </is>
      </c>
      <c r="C201" s="12" t="n">
        <v>1018.6</v>
      </c>
      <c r="D201" s="12" t="n">
        <v>5818.695</v>
      </c>
      <c r="E201" s="12" t="n">
        <v>17311</v>
      </c>
      <c r="F201" s="12" t="n">
        <v>104099.17</v>
      </c>
      <c r="G201" s="12" t="n">
        <v>2759.6</v>
      </c>
      <c r="H201" s="12" t="n">
        <v>15069.8</v>
      </c>
      <c r="I201" s="12" t="n"/>
      <c r="J201" s="12" t="n">
        <v>51027.5</v>
      </c>
      <c r="K201" s="12" t="n"/>
      <c r="L201" s="12" t="n">
        <v>5650</v>
      </c>
      <c r="M201" s="12" t="n"/>
      <c r="N201" s="12" t="n">
        <v>563.12</v>
      </c>
      <c r="O201" s="12" t="n"/>
      <c r="P201" s="12" t="n"/>
      <c r="Q201" s="12" t="n"/>
      <c r="R201" s="12" t="n"/>
      <c r="S201" s="12" t="n"/>
      <c r="T201" s="12" t="n"/>
      <c r="U201" s="12" t="n"/>
      <c r="V201" s="12" t="n"/>
      <c r="W201" s="12" t="n"/>
      <c r="X201" s="12" t="n"/>
      <c r="Y201" s="12" t="n">
        <v>222.5</v>
      </c>
      <c r="Z201" s="12" t="n"/>
      <c r="AA201" s="12" t="n"/>
      <c r="AB201" s="12" t="n"/>
      <c r="AC201" s="12" t="n"/>
      <c r="AD201" s="12" t="n"/>
      <c r="AE201" s="13">
        <f>SUM(C201,E201,G201,I201,K201,M201,O201,Q201,S201,U201,W201,Y201,AA201,AC201)</f>
        <v/>
      </c>
      <c r="AF201" s="13">
        <f>SUM(D201,F201,H201,J201,L201,N201,P201,R201,T201,V201,X201,Z201,AB201,AD201)</f>
        <v/>
      </c>
      <c r="AG201" s="13">
        <f>AE201+AF201</f>
        <v/>
      </c>
    </row>
    <row r="202">
      <c r="A202" s="5" t="n">
        <v>197</v>
      </c>
      <c r="B202" s="27" t="inlineStr">
        <is>
          <t>Kılıçlar</t>
        </is>
      </c>
      <c r="C202" s="7" t="n"/>
      <c r="D202" s="7" t="n">
        <v>313</v>
      </c>
      <c r="E202" s="7" t="n"/>
      <c r="F202" s="7" t="n"/>
      <c r="G202" s="7" t="n">
        <v>13310.38</v>
      </c>
      <c r="H202" s="7" t="n">
        <v>73965.857</v>
      </c>
      <c r="I202" s="7" t="n">
        <v>3554.39</v>
      </c>
      <c r="J202" s="7" t="n">
        <v>10924.11</v>
      </c>
      <c r="K202" s="7" t="n"/>
      <c r="L202" s="7" t="n"/>
      <c r="M202" s="7" t="n"/>
      <c r="N202" s="7" t="n"/>
      <c r="O202" s="7" t="n"/>
      <c r="P202" s="7" t="n"/>
      <c r="Q202" s="7" t="n"/>
      <c r="R202" s="7" t="n"/>
      <c r="S202" s="7" t="n"/>
      <c r="T202" s="7" t="n"/>
      <c r="U202" s="7" t="n"/>
      <c r="V202" s="7" t="n">
        <v>91195.28</v>
      </c>
      <c r="W202" s="7" t="n"/>
      <c r="X202" s="7" t="n"/>
      <c r="Y202" s="7" t="n">
        <v>71.315</v>
      </c>
      <c r="Z202" s="7" t="n">
        <v>109.335</v>
      </c>
      <c r="AA202" s="7" t="n">
        <v>22.42</v>
      </c>
      <c r="AB202" s="7" t="n">
        <v>917.6900000000001</v>
      </c>
      <c r="AC202" s="7" t="n">
        <v>26.4</v>
      </c>
      <c r="AD202" s="7" t="n">
        <v>26.4</v>
      </c>
      <c r="AE202" s="8">
        <f>SUM(C202,E202,G202,I202,K202,M202,O202,Q202,S202,U202,W202,Y202,AA202,AC202)</f>
        <v/>
      </c>
      <c r="AF202" s="8">
        <f>SUM(D202,F202,H202,J202,L202,N202,P202,R202,T202,V202,X202,Z202,AB202,AD202)</f>
        <v/>
      </c>
      <c r="AG202" s="8">
        <f>AE202+AF202</f>
        <v/>
      </c>
    </row>
    <row r="203">
      <c r="A203" s="10" t="n">
        <v>198</v>
      </c>
      <c r="B203" s="28" t="inlineStr">
        <is>
          <t>Alayunt</t>
        </is>
      </c>
      <c r="C203" s="12" t="n">
        <v>38947.305</v>
      </c>
      <c r="D203" s="12" t="n">
        <v>17520.15</v>
      </c>
      <c r="E203" s="12" t="n">
        <v>13903.375</v>
      </c>
      <c r="F203" s="12" t="n">
        <v>706.98</v>
      </c>
      <c r="G203" s="12" t="n"/>
      <c r="H203" s="12" t="n">
        <v>27</v>
      </c>
      <c r="I203" s="12" t="n">
        <v>4793.45</v>
      </c>
      <c r="J203" s="12" t="n">
        <v>1191.3</v>
      </c>
      <c r="K203" s="12" t="n">
        <v>7184.105</v>
      </c>
      <c r="L203" s="12" t="n">
        <v>6940.155</v>
      </c>
      <c r="M203" s="12" t="n">
        <v>573</v>
      </c>
      <c r="N203" s="12" t="n">
        <v>2825.91</v>
      </c>
      <c r="O203" s="12" t="n">
        <v>2087.05</v>
      </c>
      <c r="P203" s="12" t="n">
        <v>16896</v>
      </c>
      <c r="Q203" s="12" t="n">
        <v>5656.506</v>
      </c>
      <c r="R203" s="12" t="n">
        <v>1595</v>
      </c>
      <c r="S203" s="12" t="n">
        <v>20864.59</v>
      </c>
      <c r="T203" s="12" t="n">
        <v>634.46</v>
      </c>
      <c r="U203" s="12" t="n">
        <v>990.97</v>
      </c>
      <c r="V203" s="12" t="n">
        <v>699.3</v>
      </c>
      <c r="W203" s="12" t="n">
        <v>477.6</v>
      </c>
      <c r="X203" s="12" t="n">
        <v>453.4</v>
      </c>
      <c r="Y203" s="12" t="n">
        <v>3952.3</v>
      </c>
      <c r="Z203" s="12" t="n">
        <v>1280.9</v>
      </c>
      <c r="AA203" s="12" t="n">
        <v>7855.8</v>
      </c>
      <c r="AB203" s="12" t="n">
        <v>28969.45</v>
      </c>
      <c r="AC203" s="12" t="n">
        <v>960</v>
      </c>
      <c r="AD203" s="12" t="n">
        <v>5833.57</v>
      </c>
      <c r="AE203" s="13">
        <f>SUM(C203,E203,G203,I203,K203,M203,O203,Q203,S203,U203,W203,Y203,AA203,AC203)</f>
        <v/>
      </c>
      <c r="AF203" s="13">
        <f>SUM(D203,F203,H203,J203,L203,N203,P203,R203,T203,V203,X203,Z203,AB203,AD203)</f>
        <v/>
      </c>
      <c r="AG203" s="13">
        <f>AE203+AF203</f>
        <v/>
      </c>
    </row>
    <row r="204">
      <c r="A204" s="5" t="n">
        <v>199</v>
      </c>
      <c r="B204" s="27" t="inlineStr">
        <is>
          <t>Piribeyler</t>
        </is>
      </c>
      <c r="C204" s="7" t="n">
        <v>18854.465</v>
      </c>
      <c r="D204" s="7" t="n">
        <v>2032.85</v>
      </c>
      <c r="E204" s="7" t="n"/>
      <c r="F204" s="7" t="n">
        <v>12853.715</v>
      </c>
      <c r="G204" s="7" t="n">
        <v>935</v>
      </c>
      <c r="H204" s="7" t="n">
        <v>69128.128</v>
      </c>
      <c r="I204" s="7" t="n">
        <v>30275.1</v>
      </c>
      <c r="J204" s="7" t="n">
        <v>2283.94</v>
      </c>
      <c r="K204" s="7" t="n">
        <v>2155</v>
      </c>
      <c r="L204" s="7" t="n">
        <v>38952.495</v>
      </c>
      <c r="M204" s="7" t="n">
        <v>26.5</v>
      </c>
      <c r="N204" s="7" t="n">
        <v>12825</v>
      </c>
      <c r="O204" s="7" t="n"/>
      <c r="P204" s="7" t="n"/>
      <c r="Q204" s="7" t="n"/>
      <c r="R204" s="7" t="n"/>
      <c r="S204" s="7" t="n"/>
      <c r="T204" s="7" t="n"/>
      <c r="U204" s="7" t="n"/>
      <c r="V204" s="7" t="n"/>
      <c r="W204" s="7" t="n"/>
      <c r="X204" s="7" t="n"/>
      <c r="Y204" s="7" t="n"/>
      <c r="Z204" s="7" t="n"/>
      <c r="AA204" s="7" t="n"/>
      <c r="AB204" s="7" t="n"/>
      <c r="AC204" s="7" t="n">
        <v>6</v>
      </c>
      <c r="AD204" s="7" t="n">
        <v>13.5</v>
      </c>
      <c r="AE204" s="8">
        <f>SUM(C204,E204,G204,I204,K204,M204,O204,Q204,S204,U204,W204,Y204,AA204,AC204)</f>
        <v/>
      </c>
      <c r="AF204" s="8">
        <f>SUM(D204,F204,H204,J204,L204,N204,P204,R204,T204,V204,X204,Z204,AB204,AD204)</f>
        <v/>
      </c>
      <c r="AG204" s="8">
        <f>AE204+AF204</f>
        <v/>
      </c>
    </row>
    <row r="205">
      <c r="A205" s="10" t="n">
        <v>200</v>
      </c>
      <c r="B205" s="28" t="inlineStr">
        <is>
          <t>İncirlik</t>
        </is>
      </c>
      <c r="C205" s="12" t="n">
        <v>17921.3</v>
      </c>
      <c r="D205" s="12" t="n">
        <v>14127</v>
      </c>
      <c r="E205" s="12" t="n">
        <v>3877.4</v>
      </c>
      <c r="F205" s="12" t="n">
        <v>256.9</v>
      </c>
      <c r="G205" s="12" t="n">
        <v>5838.131</v>
      </c>
      <c r="H205" s="12" t="n">
        <v>120</v>
      </c>
      <c r="I205" s="12" t="n">
        <v>9753.309999999999</v>
      </c>
      <c r="J205" s="12" t="n">
        <v>209.859</v>
      </c>
      <c r="K205" s="12" t="n">
        <v>12274.575</v>
      </c>
      <c r="L205" s="12" t="n">
        <v>10663.4</v>
      </c>
      <c r="M205" s="12" t="n">
        <v>15415.07</v>
      </c>
      <c r="N205" s="12" t="n">
        <v>29404.47</v>
      </c>
      <c r="O205" s="12" t="n">
        <v>3117.695</v>
      </c>
      <c r="P205" s="12" t="n">
        <v>12530.825</v>
      </c>
      <c r="Q205" s="12" t="n">
        <v>3107.565</v>
      </c>
      <c r="R205" s="12" t="n">
        <v>9033.309999999999</v>
      </c>
      <c r="S205" s="12" t="n">
        <v>2996.03</v>
      </c>
      <c r="T205" s="12" t="n">
        <v>17114.4</v>
      </c>
      <c r="U205" s="12" t="n">
        <v>2200.77</v>
      </c>
      <c r="V205" s="12" t="n">
        <v>250.5</v>
      </c>
      <c r="W205" s="12" t="n">
        <v>823.8</v>
      </c>
      <c r="X205" s="12" t="n">
        <v>179.5</v>
      </c>
      <c r="Y205" s="12" t="n">
        <v>265.2</v>
      </c>
      <c r="Z205" s="12" t="n">
        <v>12700.8</v>
      </c>
      <c r="AA205" s="12" t="n">
        <v>79.79000000000001</v>
      </c>
      <c r="AB205" s="12" t="n"/>
      <c r="AC205" s="12" t="n">
        <v>1027</v>
      </c>
      <c r="AD205" s="12" t="n"/>
      <c r="AE205" s="13">
        <f>SUM(C205,E205,G205,I205,K205,M205,O205,Q205,S205,U205,W205,Y205,AA205,AC205)</f>
        <v/>
      </c>
      <c r="AF205" s="13">
        <f>SUM(D205,F205,H205,J205,L205,N205,P205,R205,T205,V205,X205,Z205,AB205,AD205)</f>
        <v/>
      </c>
      <c r="AG205" s="13">
        <f>AE205+AF205</f>
        <v/>
      </c>
    </row>
    <row r="206">
      <c r="A206" s="5" t="n">
        <v>201</v>
      </c>
      <c r="B206" s="27" t="inlineStr">
        <is>
          <t>Söke</t>
        </is>
      </c>
      <c r="C206" s="7" t="n">
        <v>8550</v>
      </c>
      <c r="D206" s="7" t="n">
        <v>46614.1</v>
      </c>
      <c r="E206" s="7" t="n">
        <v>33306</v>
      </c>
      <c r="F206" s="7" t="n">
        <v>39199.55</v>
      </c>
      <c r="G206" s="7" t="n">
        <v>1930</v>
      </c>
      <c r="H206" s="7" t="n">
        <v>25841.3</v>
      </c>
      <c r="I206" s="7" t="n">
        <v>120</v>
      </c>
      <c r="J206" s="7" t="n">
        <v>18106.5</v>
      </c>
      <c r="K206" s="7" t="n"/>
      <c r="L206" s="7" t="n">
        <v>1360.38</v>
      </c>
      <c r="M206" s="7" t="n"/>
      <c r="N206" s="7" t="n">
        <v>725.24</v>
      </c>
      <c r="O206" s="7" t="n"/>
      <c r="P206" s="7" t="n">
        <v>15</v>
      </c>
      <c r="Q206" s="7" t="n"/>
      <c r="R206" s="7" t="n"/>
      <c r="S206" s="7" t="n"/>
      <c r="T206" s="7" t="n">
        <v>10</v>
      </c>
      <c r="U206" s="7" t="n"/>
      <c r="V206" s="7" t="n">
        <v>2545</v>
      </c>
      <c r="W206" s="7" t="n">
        <v>60</v>
      </c>
      <c r="X206" s="7" t="n"/>
      <c r="Y206" s="7" t="n"/>
      <c r="Z206" s="7" t="n">
        <v>32</v>
      </c>
      <c r="AA206" s="7" t="n"/>
      <c r="AB206" s="7" t="n">
        <v>19</v>
      </c>
      <c r="AC206" s="7" t="n"/>
      <c r="AD206" s="7" t="n"/>
      <c r="AE206" s="8">
        <f>SUM(C206,E206,G206,I206,K206,M206,O206,Q206,S206,U206,W206,Y206,AA206,AC206)</f>
        <v/>
      </c>
      <c r="AF206" s="8">
        <f>SUM(D206,F206,H206,J206,L206,N206,P206,R206,T206,V206,X206,Z206,AB206,AD206)</f>
        <v/>
      </c>
      <c r="AG206" s="8">
        <f>AE206+AF206</f>
        <v/>
      </c>
    </row>
    <row r="207">
      <c r="A207" s="10" t="n">
        <v>202</v>
      </c>
      <c r="B207" s="28" t="inlineStr">
        <is>
          <t>Dursunbey</t>
        </is>
      </c>
      <c r="C207" s="12" t="n">
        <v>13197.7</v>
      </c>
      <c r="D207" s="12" t="n">
        <v>9739.700000000001</v>
      </c>
      <c r="E207" s="12" t="n">
        <v>1078.6</v>
      </c>
      <c r="F207" s="12" t="n">
        <v>17386.65</v>
      </c>
      <c r="G207" s="12" t="n">
        <v>5239.53</v>
      </c>
      <c r="H207" s="12" t="n">
        <v>13221.065</v>
      </c>
      <c r="I207" s="12" t="n">
        <v>964.1</v>
      </c>
      <c r="J207" s="12" t="n">
        <v>46159.195</v>
      </c>
      <c r="K207" s="12" t="n">
        <v>39985.2</v>
      </c>
      <c r="L207" s="12" t="n">
        <v>1176.49</v>
      </c>
      <c r="M207" s="12" t="n">
        <v>13137.5</v>
      </c>
      <c r="N207" s="12" t="n">
        <v>1248.29</v>
      </c>
      <c r="O207" s="12" t="n">
        <v>8</v>
      </c>
      <c r="P207" s="12" t="n">
        <v>35</v>
      </c>
      <c r="Q207" s="12" t="n">
        <v>1090.5</v>
      </c>
      <c r="R207" s="12" t="n">
        <v>11592</v>
      </c>
      <c r="S207" s="12" t="n">
        <v>15</v>
      </c>
      <c r="T207" s="12" t="n">
        <v>198</v>
      </c>
      <c r="U207" s="12" t="n"/>
      <c r="V207" s="12" t="n">
        <v>34.74</v>
      </c>
      <c r="W207" s="12" t="n"/>
      <c r="X207" s="12" t="n"/>
      <c r="Y207" s="12" t="n">
        <v>84</v>
      </c>
      <c r="Z207" s="12" t="n"/>
      <c r="AA207" s="12" t="n"/>
      <c r="AB207" s="12" t="n">
        <v>301.8</v>
      </c>
      <c r="AC207" s="12" t="n">
        <v>130.74</v>
      </c>
      <c r="AD207" s="12" t="n">
        <v>130.74</v>
      </c>
      <c r="AE207" s="13">
        <f>SUM(C207,E207,G207,I207,K207,M207,O207,Q207,S207,U207,W207,Y207,AA207,AC207)</f>
        <v/>
      </c>
      <c r="AF207" s="13">
        <f>SUM(D207,F207,H207,J207,L207,N207,P207,R207,T207,V207,X207,Z207,AB207,AD207)</f>
        <v/>
      </c>
      <c r="AG207" s="13">
        <f>AE207+AF207</f>
        <v/>
      </c>
    </row>
    <row r="208">
      <c r="A208" s="5" t="n">
        <v>203</v>
      </c>
      <c r="B208" s="27" t="inlineStr">
        <is>
          <t>Yolçatı</t>
        </is>
      </c>
      <c r="C208" s="7" t="n">
        <v>10</v>
      </c>
      <c r="D208" s="7" t="n">
        <v>6924</v>
      </c>
      <c r="E208" s="7" t="n"/>
      <c r="F208" s="7" t="n">
        <v>87.5</v>
      </c>
      <c r="G208" s="7" t="n">
        <v>8550</v>
      </c>
      <c r="H208" s="7" t="n">
        <v>5978.25</v>
      </c>
      <c r="I208" s="7" t="n">
        <v>22702.4</v>
      </c>
      <c r="J208" s="7" t="n">
        <v>2468.225</v>
      </c>
      <c r="K208" s="7" t="n">
        <v>10137.45</v>
      </c>
      <c r="L208" s="7" t="n">
        <v>35920.13</v>
      </c>
      <c r="M208" s="7" t="n">
        <v>22300.4</v>
      </c>
      <c r="N208" s="7" t="n">
        <v>19704.88</v>
      </c>
      <c r="O208" s="7" t="n">
        <v>4267.155</v>
      </c>
      <c r="P208" s="7" t="n">
        <v>9361.08</v>
      </c>
      <c r="Q208" s="7" t="n">
        <v>13900.114</v>
      </c>
      <c r="R208" s="7" t="n">
        <v>7338.155</v>
      </c>
      <c r="S208" s="7" t="n">
        <v>1559.36</v>
      </c>
      <c r="T208" s="7" t="n">
        <v>3223.22</v>
      </c>
      <c r="U208" s="7" t="n">
        <v>297</v>
      </c>
      <c r="V208" s="7" t="n">
        <v>1100.7</v>
      </c>
      <c r="W208" s="7" t="n"/>
      <c r="X208" s="7" t="n"/>
      <c r="Y208" s="7" t="n"/>
      <c r="Z208" s="7" t="n"/>
      <c r="AA208" s="7" t="n"/>
      <c r="AB208" s="7" t="n"/>
      <c r="AC208" s="7" t="n"/>
      <c r="AD208" s="7" t="n"/>
      <c r="AE208" s="8">
        <f>SUM(C208,E208,G208,I208,K208,M208,O208,Q208,S208,U208,W208,Y208,AA208,AC208)</f>
        <v/>
      </c>
      <c r="AF208" s="8">
        <f>SUM(D208,F208,H208,J208,L208,N208,P208,R208,T208,V208,X208,Z208,AB208,AD208)</f>
        <v/>
      </c>
      <c r="AG208" s="8">
        <f>AE208+AF208</f>
        <v/>
      </c>
    </row>
    <row r="209">
      <c r="A209" s="10" t="n">
        <v>204</v>
      </c>
      <c r="B209" s="28" t="inlineStr">
        <is>
          <t>Sarıkamış</t>
        </is>
      </c>
      <c r="C209" s="12" t="n">
        <v>1253.962</v>
      </c>
      <c r="D209" s="12" t="n">
        <v>37524.386</v>
      </c>
      <c r="E209" s="12" t="n">
        <v>1151.265</v>
      </c>
      <c r="F209" s="12" t="n">
        <v>9099.511</v>
      </c>
      <c r="G209" s="12" t="n">
        <v>2601.145</v>
      </c>
      <c r="H209" s="12" t="n">
        <v>9068.483</v>
      </c>
      <c r="I209" s="12" t="n">
        <v>6757.645</v>
      </c>
      <c r="J209" s="12" t="n">
        <v>49629.315</v>
      </c>
      <c r="K209" s="12" t="n">
        <v>2438.834</v>
      </c>
      <c r="L209" s="12" t="n">
        <v>15305.667</v>
      </c>
      <c r="M209" s="12" t="n">
        <v>1223.65</v>
      </c>
      <c r="N209" s="12" t="n">
        <v>10194.765</v>
      </c>
      <c r="O209" s="12" t="n">
        <v>27.4</v>
      </c>
      <c r="P209" s="12" t="n">
        <v>4385</v>
      </c>
      <c r="Q209" s="12" t="n">
        <v>76.7</v>
      </c>
      <c r="R209" s="12" t="n">
        <v>2078.59</v>
      </c>
      <c r="S209" s="12" t="n">
        <v>222.285</v>
      </c>
      <c r="T209" s="12" t="n">
        <v>4491.182</v>
      </c>
      <c r="U209" s="12" t="n">
        <v>277.158</v>
      </c>
      <c r="V209" s="12" t="n">
        <v>490.899</v>
      </c>
      <c r="W209" s="12" t="n">
        <v>42.002</v>
      </c>
      <c r="X209" s="12" t="n">
        <v>242.547</v>
      </c>
      <c r="Y209" s="12" t="n">
        <v>23.934</v>
      </c>
      <c r="Z209" s="12" t="n">
        <v>92.48</v>
      </c>
      <c r="AA209" s="12" t="n">
        <v>50</v>
      </c>
      <c r="AB209" s="12" t="n">
        <v>457.175</v>
      </c>
      <c r="AC209" s="12" t="n"/>
      <c r="AD209" s="12" t="n"/>
      <c r="AE209" s="13">
        <f>SUM(C209,E209,G209,I209,K209,M209,O209,Q209,S209,U209,W209,Y209,AA209,AC209)</f>
        <v/>
      </c>
      <c r="AF209" s="13">
        <f>SUM(D209,F209,H209,J209,L209,N209,P209,R209,T209,V209,X209,Z209,AB209,AD209)</f>
        <v/>
      </c>
      <c r="AG209" s="13">
        <f>AE209+AF209</f>
        <v/>
      </c>
    </row>
    <row r="210">
      <c r="A210" s="5" t="n">
        <v>205</v>
      </c>
      <c r="B210" s="27" t="inlineStr">
        <is>
          <t>İzzettin</t>
        </is>
      </c>
      <c r="C210" s="7" t="n">
        <v>66867.28</v>
      </c>
      <c r="D210" s="7" t="n">
        <v>90</v>
      </c>
      <c r="E210" s="7" t="n">
        <v>54068.45</v>
      </c>
      <c r="F210" s="7" t="n">
        <v>2280</v>
      </c>
      <c r="G210" s="7" t="n">
        <v>13140.79</v>
      </c>
      <c r="H210" s="7" t="n">
        <v>0</v>
      </c>
      <c r="I210" s="7" t="n">
        <v>5224.385</v>
      </c>
      <c r="J210" s="7" t="n">
        <v>8414.879999999999</v>
      </c>
      <c r="K210" s="7" t="n">
        <v>296.54</v>
      </c>
      <c r="L210" s="7" t="n">
        <v>296.54</v>
      </c>
      <c r="M210" s="7" t="n"/>
      <c r="N210" s="7" t="n">
        <v>216</v>
      </c>
      <c r="O210" s="7" t="n"/>
      <c r="P210" s="7" t="n">
        <v>180</v>
      </c>
      <c r="Q210" s="7" t="n"/>
      <c r="R210" s="7" t="n"/>
      <c r="S210" s="7" t="n"/>
      <c r="T210" s="7" t="n">
        <v>181.2</v>
      </c>
      <c r="U210" s="7" t="n"/>
      <c r="V210" s="7" t="n"/>
      <c r="W210" s="7" t="n"/>
      <c r="X210" s="7" t="n"/>
      <c r="Y210" s="7" t="n"/>
      <c r="Z210" s="7" t="n"/>
      <c r="AA210" s="7" t="n"/>
      <c r="AB210" s="7" t="n"/>
      <c r="AC210" s="7" t="n">
        <v>2</v>
      </c>
      <c r="AD210" s="7" t="n">
        <v>2</v>
      </c>
      <c r="AE210" s="8">
        <f>SUM(C210,E210,G210,I210,K210,M210,O210,Q210,S210,U210,W210,Y210,AA210,AC210)</f>
        <v/>
      </c>
      <c r="AF210" s="8">
        <f>SUM(D210,F210,H210,J210,L210,N210,P210,R210,T210,V210,X210,Z210,AB210,AD210)</f>
        <v/>
      </c>
      <c r="AG210" s="8">
        <f>AE210+AF210</f>
        <v/>
      </c>
    </row>
    <row r="211">
      <c r="A211" s="10" t="n">
        <v>206</v>
      </c>
      <c r="B211" s="28" t="inlineStr">
        <is>
          <t>Pancar</t>
        </is>
      </c>
      <c r="C211" s="12" t="n"/>
      <c r="D211" s="12" t="n"/>
      <c r="E211" s="12" t="n"/>
      <c r="F211" s="12" t="n"/>
      <c r="G211" s="12" t="n">
        <v>2428.2</v>
      </c>
      <c r="H211" s="12" t="n">
        <v>7138.2</v>
      </c>
      <c r="I211" s="12" t="n"/>
      <c r="J211" s="12" t="n">
        <v>0</v>
      </c>
      <c r="K211" s="12" t="n">
        <v>59087.133</v>
      </c>
      <c r="L211" s="12" t="n">
        <v>62374.17</v>
      </c>
      <c r="M211" s="12" t="n">
        <v>1434.498</v>
      </c>
      <c r="N211" s="12" t="n">
        <v>12729.64</v>
      </c>
      <c r="O211" s="12" t="n">
        <v>255</v>
      </c>
      <c r="P211" s="12" t="n"/>
      <c r="Q211" s="12" t="n">
        <v>98</v>
      </c>
      <c r="R211" s="12" t="n"/>
      <c r="S211" s="12" t="n"/>
      <c r="T211" s="12" t="n">
        <v>172.4</v>
      </c>
      <c r="U211" s="12" t="n">
        <v>2150</v>
      </c>
      <c r="V211" s="12" t="n"/>
      <c r="W211" s="12" t="n">
        <v>11</v>
      </c>
      <c r="X211" s="12" t="n">
        <v>11</v>
      </c>
      <c r="Y211" s="12" t="n">
        <v>36</v>
      </c>
      <c r="Z211" s="12" t="n">
        <v>285</v>
      </c>
      <c r="AA211" s="12" t="n"/>
      <c r="AB211" s="12" t="n">
        <v>0</v>
      </c>
      <c r="AC211" s="12" t="n"/>
      <c r="AD211" s="12" t="n">
        <v>13</v>
      </c>
      <c r="AE211" s="13">
        <f>SUM(C211,E211,G211,I211,K211,M211,O211,Q211,S211,U211,W211,Y211,AA211,AC211)</f>
        <v/>
      </c>
      <c r="AF211" s="13">
        <f>SUM(D211,F211,H211,J211,L211,N211,P211,R211,T211,V211,X211,Z211,AB211,AD211)</f>
        <v/>
      </c>
      <c r="AG211" s="13">
        <f>AE211+AF211</f>
        <v/>
      </c>
    </row>
    <row r="212">
      <c r="A212" s="5" t="n">
        <v>207</v>
      </c>
      <c r="B212" s="27" t="inlineStr">
        <is>
          <t>Bismil</t>
        </is>
      </c>
      <c r="C212" s="7" t="n">
        <v>6479.04</v>
      </c>
      <c r="D212" s="7" t="n">
        <v>27555.4</v>
      </c>
      <c r="E212" s="7" t="n"/>
      <c r="F212" s="7" t="n">
        <v>11382</v>
      </c>
      <c r="G212" s="7" t="n"/>
      <c r="H212" s="7" t="n">
        <v>359.3</v>
      </c>
      <c r="I212" s="7" t="n"/>
      <c r="J212" s="7" t="n">
        <v>5384</v>
      </c>
      <c r="K212" s="7" t="n">
        <v>25</v>
      </c>
      <c r="L212" s="7" t="n">
        <v>4928.412</v>
      </c>
      <c r="M212" s="7" t="n">
        <v>4744.34</v>
      </c>
      <c r="N212" s="7" t="n">
        <v>9015.41</v>
      </c>
      <c r="O212" s="7" t="n">
        <v>2609.98</v>
      </c>
      <c r="P212" s="7" t="n">
        <v>4003.07</v>
      </c>
      <c r="Q212" s="7" t="n">
        <v>1030.54</v>
      </c>
      <c r="R212" s="7" t="n">
        <v>10377.535</v>
      </c>
      <c r="S212" s="7" t="n">
        <v>1906.535</v>
      </c>
      <c r="T212" s="7" t="n">
        <v>35728.102</v>
      </c>
      <c r="U212" s="7" t="n"/>
      <c r="V212" s="7" t="n"/>
      <c r="W212" s="7" t="n"/>
      <c r="X212" s="7" t="n">
        <v>12719.62</v>
      </c>
      <c r="Y212" s="7" t="n">
        <v>108</v>
      </c>
      <c r="Z212" s="7" t="n">
        <v>1482</v>
      </c>
      <c r="AA212" s="7" t="n">
        <v>235</v>
      </c>
      <c r="AB212" s="7" t="n">
        <v>2904</v>
      </c>
      <c r="AC212" s="7" t="n">
        <v>522</v>
      </c>
      <c r="AD212" s="7" t="n">
        <v>4026</v>
      </c>
      <c r="AE212" s="8">
        <f>SUM(C212,E212,G212,I212,K212,M212,O212,Q212,S212,U212,W212,Y212,AA212,AC212)</f>
        <v/>
      </c>
      <c r="AF212" s="8">
        <f>SUM(D212,F212,H212,J212,L212,N212,P212,R212,T212,V212,X212,Z212,AB212,AD212)</f>
        <v/>
      </c>
      <c r="AG212" s="8">
        <f>AE212+AF212</f>
        <v/>
      </c>
    </row>
    <row r="213">
      <c r="A213" s="10" t="n">
        <v>208</v>
      </c>
      <c r="B213" s="28" t="inlineStr">
        <is>
          <t>Balabanlı</t>
        </is>
      </c>
      <c r="C213" s="12" t="n"/>
      <c r="D213" s="12" t="n"/>
      <c r="E213" s="12" t="n">
        <v>2251.59</v>
      </c>
      <c r="F213" s="12" t="n">
        <v>2538.77</v>
      </c>
      <c r="G213" s="12" t="n">
        <v>1123.23</v>
      </c>
      <c r="H213" s="12" t="n">
        <v>1507.4</v>
      </c>
      <c r="I213" s="12" t="n">
        <v>1125.79</v>
      </c>
      <c r="J213" s="12" t="n">
        <v>998.02</v>
      </c>
      <c r="K213" s="12" t="n">
        <v>1796.47</v>
      </c>
      <c r="L213" s="12" t="n">
        <v>2022.96</v>
      </c>
      <c r="M213" s="12" t="n"/>
      <c r="N213" s="12" t="n"/>
      <c r="O213" s="12" t="n"/>
      <c r="P213" s="12" t="n"/>
      <c r="Q213" s="12" t="n"/>
      <c r="R213" s="12" t="n"/>
      <c r="S213" s="12" t="n"/>
      <c r="T213" s="12" t="n"/>
      <c r="U213" s="12" t="n"/>
      <c r="V213" s="12" t="n"/>
      <c r="W213" s="12" t="n"/>
      <c r="X213" s="12" t="n"/>
      <c r="Y213" s="12" t="n">
        <v>3466.78</v>
      </c>
      <c r="Z213" s="12" t="n">
        <v>16874.93</v>
      </c>
      <c r="AA213" s="12" t="n">
        <v>9828.440000000001</v>
      </c>
      <c r="AB213" s="12" t="n">
        <v>58195.876</v>
      </c>
      <c r="AC213" s="12" t="n">
        <v>6560.85</v>
      </c>
      <c r="AD213" s="12" t="n">
        <v>37911.47</v>
      </c>
      <c r="AE213" s="13">
        <f>SUM(C213,E213,G213,I213,K213,M213,O213,Q213,S213,U213,W213,Y213,AA213,AC213)</f>
        <v/>
      </c>
      <c r="AF213" s="13">
        <f>SUM(D213,F213,H213,J213,L213,N213,P213,R213,T213,V213,X213,Z213,AB213,AD213)</f>
        <v/>
      </c>
      <c r="AG213" s="13">
        <f>AE213+AF213</f>
        <v/>
      </c>
    </row>
    <row r="214">
      <c r="A214" s="5" t="n">
        <v>209</v>
      </c>
      <c r="B214" s="27" t="inlineStr">
        <is>
          <t>Isparta</t>
        </is>
      </c>
      <c r="C214" s="7" t="n">
        <v>4880.16</v>
      </c>
      <c r="D214" s="7" t="n">
        <v>2493.32</v>
      </c>
      <c r="E214" s="7" t="n">
        <v>13744.359</v>
      </c>
      <c r="F214" s="7" t="n">
        <v>2565.6</v>
      </c>
      <c r="G214" s="7" t="n">
        <v>5656.547</v>
      </c>
      <c r="H214" s="7" t="n">
        <v>1248.087</v>
      </c>
      <c r="I214" s="7" t="n">
        <v>13951.772</v>
      </c>
      <c r="J214" s="7" t="n">
        <v>11099.923</v>
      </c>
      <c r="K214" s="7" t="n">
        <v>6849.256</v>
      </c>
      <c r="L214" s="7" t="n">
        <v>14073.657</v>
      </c>
      <c r="M214" s="7" t="n">
        <v>2177.403</v>
      </c>
      <c r="N214" s="7" t="n">
        <v>879.21</v>
      </c>
      <c r="O214" s="7" t="n">
        <v>1629.84</v>
      </c>
      <c r="P214" s="7" t="n">
        <v>1181.549</v>
      </c>
      <c r="Q214" s="7" t="n">
        <v>767.3200000000001</v>
      </c>
      <c r="R214" s="7" t="n">
        <v>560.063</v>
      </c>
      <c r="S214" s="7" t="n">
        <v>86.8</v>
      </c>
      <c r="T214" s="7" t="n">
        <v>495.1</v>
      </c>
      <c r="U214" s="7" t="n">
        <v>1623.187</v>
      </c>
      <c r="V214" s="7" t="n">
        <v>1358.519</v>
      </c>
      <c r="W214" s="7" t="n">
        <v>7425.22</v>
      </c>
      <c r="X214" s="7" t="n">
        <v>810.65</v>
      </c>
      <c r="Y214" s="7" t="n">
        <v>15365.816</v>
      </c>
      <c r="Z214" s="7" t="n">
        <v>903.272</v>
      </c>
      <c r="AA214" s="7" t="n">
        <v>16176.066</v>
      </c>
      <c r="AB214" s="7" t="n">
        <v>1557.17</v>
      </c>
      <c r="AC214" s="7" t="n">
        <v>9894.905000000001</v>
      </c>
      <c r="AD214" s="7" t="n">
        <v>359.763</v>
      </c>
      <c r="AE214" s="8">
        <f>SUM(C214,E214,G214,I214,K214,M214,O214,Q214,S214,U214,W214,Y214,AA214,AC214)</f>
        <v/>
      </c>
      <c r="AF214" s="8">
        <f>SUM(D214,F214,H214,J214,L214,N214,P214,R214,T214,V214,X214,Z214,AB214,AD214)</f>
        <v/>
      </c>
      <c r="AG214" s="8">
        <f>AE214+AF214</f>
        <v/>
      </c>
    </row>
    <row r="215">
      <c r="A215" s="10" t="n">
        <v>210</v>
      </c>
      <c r="B215" s="28" t="inlineStr">
        <is>
          <t>Pazarcık</t>
        </is>
      </c>
      <c r="C215" s="12" t="n">
        <v>23425</v>
      </c>
      <c r="D215" s="12" t="n">
        <v>34088.1</v>
      </c>
      <c r="E215" s="12" t="n">
        <v>40425</v>
      </c>
      <c r="F215" s="12" t="n">
        <v>10124</v>
      </c>
      <c r="G215" s="12" t="n"/>
      <c r="H215" s="12" t="n">
        <v>30770.36</v>
      </c>
      <c r="I215" s="12" t="n"/>
      <c r="J215" s="12" t="n"/>
      <c r="K215" s="12" t="n"/>
      <c r="L215" s="12" t="n">
        <v>237.8</v>
      </c>
      <c r="M215" s="12" t="n">
        <v>63</v>
      </c>
      <c r="N215" s="12" t="n">
        <v>134</v>
      </c>
      <c r="O215" s="12" t="n"/>
      <c r="P215" s="12" t="n"/>
      <c r="Q215" s="12" t="n"/>
      <c r="R215" s="12" t="n"/>
      <c r="S215" s="12" t="n"/>
      <c r="T215" s="12" t="n">
        <v>152.01</v>
      </c>
      <c r="U215" s="12" t="n"/>
      <c r="V215" s="12" t="n"/>
      <c r="W215" s="12" t="n"/>
      <c r="X215" s="12" t="n"/>
      <c r="Y215" s="12" t="n"/>
      <c r="Z215" s="12" t="n"/>
      <c r="AA215" s="12" t="n"/>
      <c r="AB215" s="12" t="n"/>
      <c r="AC215" s="12" t="n"/>
      <c r="AD215" s="12" t="n"/>
      <c r="AE215" s="13">
        <f>SUM(C215,E215,G215,I215,K215,M215,O215,Q215,S215,U215,W215,Y215,AA215,AC215)</f>
        <v/>
      </c>
      <c r="AF215" s="13">
        <f>SUM(D215,F215,H215,J215,L215,N215,P215,R215,T215,V215,X215,Z215,AB215,AD215)</f>
        <v/>
      </c>
      <c r="AG215" s="13">
        <f>AE215+AF215</f>
        <v/>
      </c>
    </row>
    <row r="216">
      <c r="A216" s="5" t="n">
        <v>211</v>
      </c>
      <c r="B216" s="27" t="inlineStr">
        <is>
          <t>?0100000000000188180</t>
        </is>
      </c>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c r="AC216" s="7" t="n">
        <v>113382</v>
      </c>
      <c r="AD216" s="7" t="n">
        <v>20130</v>
      </c>
      <c r="AE216" s="8">
        <f>SUM(C216,E216,G216,I216,K216,M216,O216,Q216,S216,U216,W216,Y216,AA216,AC216)</f>
        <v/>
      </c>
      <c r="AF216" s="8">
        <f>SUM(D216,F216,H216,J216,L216,N216,P216,R216,T216,V216,X216,Z216,AB216,AD216)</f>
        <v/>
      </c>
      <c r="AG216" s="8">
        <f>AE216+AF216</f>
        <v/>
      </c>
    </row>
    <row r="217">
      <c r="A217" s="10" t="n">
        <v>212</v>
      </c>
      <c r="B217" s="28" t="inlineStr">
        <is>
          <t>Ilgın</t>
        </is>
      </c>
      <c r="C217" s="12" t="n">
        <v>154</v>
      </c>
      <c r="D217" s="12" t="n">
        <v>156.86</v>
      </c>
      <c r="E217" s="12" t="n">
        <v>150</v>
      </c>
      <c r="F217" s="12" t="n">
        <v>567</v>
      </c>
      <c r="G217" s="12" t="n">
        <v>945.2</v>
      </c>
      <c r="H217" s="12" t="n">
        <v>90288.91</v>
      </c>
      <c r="I217" s="12" t="n">
        <v>1890.135</v>
      </c>
      <c r="J217" s="12" t="n">
        <v>1141.41</v>
      </c>
      <c r="K217" s="12" t="n">
        <v>51.77</v>
      </c>
      <c r="L217" s="12" t="n">
        <v>1478.755</v>
      </c>
      <c r="M217" s="12" t="n">
        <v>357.28</v>
      </c>
      <c r="N217" s="12" t="n">
        <v>4122.6</v>
      </c>
      <c r="O217" s="12" t="n">
        <v>277.41</v>
      </c>
      <c r="P217" s="12" t="n">
        <v>2339</v>
      </c>
      <c r="Q217" s="12" t="n"/>
      <c r="R217" s="12" t="n">
        <v>306.28</v>
      </c>
      <c r="S217" s="12" t="n"/>
      <c r="T217" s="12" t="n">
        <v>143</v>
      </c>
      <c r="U217" s="12" t="n">
        <v>3750</v>
      </c>
      <c r="V217" s="12" t="n">
        <v>19981.29</v>
      </c>
      <c r="W217" s="12" t="n">
        <v>15</v>
      </c>
      <c r="X217" s="12" t="n"/>
      <c r="Y217" s="12" t="n"/>
      <c r="Z217" s="12" t="n">
        <v>1</v>
      </c>
      <c r="AA217" s="12" t="n">
        <v>137</v>
      </c>
      <c r="AB217" s="12" t="n">
        <v>226</v>
      </c>
      <c r="AC217" s="12" t="n">
        <v>80</v>
      </c>
      <c r="AD217" s="12" t="n">
        <v>164.74</v>
      </c>
      <c r="AE217" s="13">
        <f>SUM(C217,E217,G217,I217,K217,M217,O217,Q217,S217,U217,W217,Y217,AA217,AC217)</f>
        <v/>
      </c>
      <c r="AF217" s="13">
        <f>SUM(D217,F217,H217,J217,L217,N217,P217,R217,T217,V217,X217,Z217,AB217,AD217)</f>
        <v/>
      </c>
      <c r="AG217" s="13">
        <f>AE217+AF217</f>
        <v/>
      </c>
    </row>
    <row r="218">
      <c r="A218" s="5" t="n">
        <v>213</v>
      </c>
      <c r="B218" s="27" t="inlineStr">
        <is>
          <t>Bağıştaş</t>
        </is>
      </c>
      <c r="C218" s="7" t="n">
        <v>2064</v>
      </c>
      <c r="D218" s="7" t="n">
        <v>10704.87</v>
      </c>
      <c r="E218" s="7" t="n">
        <v>2749.48</v>
      </c>
      <c r="F218" s="7" t="n">
        <v>8430.129999999999</v>
      </c>
      <c r="G218" s="7" t="n">
        <v>11161.61</v>
      </c>
      <c r="H218" s="7" t="n">
        <v>2676.95</v>
      </c>
      <c r="I218" s="7" t="n">
        <v>5743.93</v>
      </c>
      <c r="J218" s="7" t="n">
        <v>1035</v>
      </c>
      <c r="K218" s="7" t="n">
        <v>22309.15</v>
      </c>
      <c r="L218" s="7" t="n">
        <v>4522.4</v>
      </c>
      <c r="M218" s="7" t="n">
        <v>31336.806</v>
      </c>
      <c r="N218" s="7" t="n">
        <v>2993.6</v>
      </c>
      <c r="O218" s="7" t="n">
        <v>8246.809999999999</v>
      </c>
      <c r="P218" s="7" t="n">
        <v>72</v>
      </c>
      <c r="Q218" s="7" t="n">
        <v>863.638</v>
      </c>
      <c r="R218" s="7" t="n">
        <v>667.5</v>
      </c>
      <c r="S218" s="7" t="n"/>
      <c r="T218" s="7" t="n">
        <v>540</v>
      </c>
      <c r="U218" s="7" t="n"/>
      <c r="V218" s="7" t="n">
        <v>2880.9</v>
      </c>
      <c r="W218" s="7" t="n"/>
      <c r="X218" s="7" t="n">
        <v>1421.71</v>
      </c>
      <c r="Y218" s="7" t="n"/>
      <c r="Z218" s="7" t="n">
        <v>405</v>
      </c>
      <c r="AA218" s="7" t="n"/>
      <c r="AB218" s="7" t="n"/>
      <c r="AC218" s="7" t="n"/>
      <c r="AD218" s="7" t="n"/>
      <c r="AE218" s="8">
        <f>SUM(C218,E218,G218,I218,K218,M218,O218,Q218,S218,U218,W218,Y218,AA218,AC218)</f>
        <v/>
      </c>
      <c r="AF218" s="8">
        <f>SUM(D218,F218,H218,J218,L218,N218,P218,R218,T218,V218,X218,Z218,AB218,AD218)</f>
        <v/>
      </c>
      <c r="AG218" s="8">
        <f>AE218+AF218</f>
        <v/>
      </c>
    </row>
    <row r="219">
      <c r="A219" s="10" t="n">
        <v>214</v>
      </c>
      <c r="B219" s="28" t="inlineStr">
        <is>
          <t>Sarmaşık</t>
        </is>
      </c>
      <c r="C219" s="12" t="n"/>
      <c r="D219" s="12" t="n">
        <v>40</v>
      </c>
      <c r="E219" s="12" t="n">
        <v>10894.11</v>
      </c>
      <c r="F219" s="12" t="n">
        <v>638.575</v>
      </c>
      <c r="G219" s="12" t="n">
        <v>3738.06</v>
      </c>
      <c r="H219" s="12" t="n"/>
      <c r="I219" s="12" t="n">
        <v>23.5</v>
      </c>
      <c r="J219" s="12" t="n">
        <v>84.485</v>
      </c>
      <c r="K219" s="12" t="n"/>
      <c r="L219" s="12" t="n"/>
      <c r="M219" s="12" t="n"/>
      <c r="N219" s="12" t="n">
        <v>42</v>
      </c>
      <c r="O219" s="12" t="n"/>
      <c r="P219" s="12" t="n">
        <v>260.38</v>
      </c>
      <c r="Q219" s="12" t="n"/>
      <c r="R219" s="12" t="n"/>
      <c r="S219" s="12" t="n"/>
      <c r="T219" s="12" t="n"/>
      <c r="U219" s="12" t="n">
        <v>3653.58</v>
      </c>
      <c r="V219" s="12" t="n">
        <v>10239.595</v>
      </c>
      <c r="W219" s="12" t="n">
        <v>7141.37</v>
      </c>
      <c r="X219" s="12" t="n">
        <v>15912.935</v>
      </c>
      <c r="Y219" s="12" t="n">
        <v>8215.059999999999</v>
      </c>
      <c r="Z219" s="12" t="n">
        <v>17752.758</v>
      </c>
      <c r="AA219" s="12" t="n">
        <v>8004.755</v>
      </c>
      <c r="AB219" s="12" t="n">
        <v>18303.97</v>
      </c>
      <c r="AC219" s="12" t="n">
        <v>4820.285</v>
      </c>
      <c r="AD219" s="12" t="n">
        <v>10123.597</v>
      </c>
      <c r="AE219" s="13">
        <f>SUM(C219,E219,G219,I219,K219,M219,O219,Q219,S219,U219,W219,Y219,AA219,AC219)</f>
        <v/>
      </c>
      <c r="AF219" s="13">
        <f>SUM(D219,F219,H219,J219,L219,N219,P219,R219,T219,V219,X219,Z219,AB219,AD219)</f>
        <v/>
      </c>
      <c r="AG219" s="13">
        <f>AE219+AF219</f>
        <v/>
      </c>
    </row>
    <row r="220">
      <c r="A220" s="5" t="n">
        <v>215</v>
      </c>
      <c r="B220" s="27" t="inlineStr">
        <is>
          <t>Eskişehir</t>
        </is>
      </c>
      <c r="C220" s="7" t="n">
        <v>36192.391</v>
      </c>
      <c r="D220" s="7" t="n">
        <v>74336.084</v>
      </c>
      <c r="E220" s="7" t="n">
        <v>2781.442</v>
      </c>
      <c r="F220" s="7" t="n">
        <v>6228.63</v>
      </c>
      <c r="G220" s="7" t="n">
        <v>98.7</v>
      </c>
      <c r="H220" s="7" t="n">
        <v>50.465</v>
      </c>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c r="AC220" s="7" t="n"/>
      <c r="AD220" s="7" t="n"/>
      <c r="AE220" s="8">
        <f>SUM(C220,E220,G220,I220,K220,M220,O220,Q220,S220,U220,W220,Y220,AA220,AC220)</f>
        <v/>
      </c>
      <c r="AF220" s="8">
        <f>SUM(D220,F220,H220,J220,L220,N220,P220,R220,T220,V220,X220,Z220,AB220,AD220)</f>
        <v/>
      </c>
      <c r="AG220" s="8">
        <f>AE220+AF220</f>
        <v/>
      </c>
    </row>
    <row r="221">
      <c r="A221" s="10" t="n">
        <v>216</v>
      </c>
      <c r="B221" s="28" t="inlineStr">
        <is>
          <t>Manisa</t>
        </is>
      </c>
      <c r="C221" s="12" t="n">
        <v>26627.225</v>
      </c>
      <c r="D221" s="12" t="n">
        <v>2276.68</v>
      </c>
      <c r="E221" s="12" t="n">
        <v>8316.155000000001</v>
      </c>
      <c r="F221" s="12" t="n">
        <v>7345.968</v>
      </c>
      <c r="G221" s="12" t="n">
        <v>4262.209</v>
      </c>
      <c r="H221" s="12" t="n">
        <v>1632.975</v>
      </c>
      <c r="I221" s="12" t="n">
        <v>2307.302</v>
      </c>
      <c r="J221" s="12" t="n">
        <v>26895.295</v>
      </c>
      <c r="K221" s="12" t="n">
        <v>1885.139</v>
      </c>
      <c r="L221" s="12" t="n">
        <v>997.453</v>
      </c>
      <c r="M221" s="12" t="n">
        <v>2450.569</v>
      </c>
      <c r="N221" s="12" t="n">
        <v>1397.62</v>
      </c>
      <c r="O221" s="12" t="n">
        <v>2232.56</v>
      </c>
      <c r="P221" s="12" t="n">
        <v>2193.835</v>
      </c>
      <c r="Q221" s="12" t="n">
        <v>1502.135</v>
      </c>
      <c r="R221" s="12" t="n">
        <v>4507.765</v>
      </c>
      <c r="S221" s="12" t="n">
        <v>743.48</v>
      </c>
      <c r="T221" s="12" t="n">
        <v>2812.15</v>
      </c>
      <c r="U221" s="12" t="n">
        <v>962.572</v>
      </c>
      <c r="V221" s="12" t="n">
        <v>2219.239</v>
      </c>
      <c r="W221" s="12" t="n">
        <v>2288.416</v>
      </c>
      <c r="X221" s="12" t="n">
        <v>1683.478</v>
      </c>
      <c r="Y221" s="12" t="n">
        <v>1572.84</v>
      </c>
      <c r="Z221" s="12" t="n">
        <v>2627.74</v>
      </c>
      <c r="AA221" s="12" t="n">
        <v>2393.932</v>
      </c>
      <c r="AB221" s="12" t="n">
        <v>1287.58</v>
      </c>
      <c r="AC221" s="12" t="n">
        <v>123.43</v>
      </c>
      <c r="AD221" s="12" t="n">
        <v>510.6</v>
      </c>
      <c r="AE221" s="13">
        <f>SUM(C221,E221,G221,I221,K221,M221,O221,Q221,S221,U221,W221,Y221,AA221,AC221)</f>
        <v/>
      </c>
      <c r="AF221" s="13">
        <f>SUM(D221,F221,H221,J221,L221,N221,P221,R221,T221,V221,X221,Z221,AB221,AD221)</f>
        <v/>
      </c>
      <c r="AG221" s="13">
        <f>AE221+AF221</f>
        <v/>
      </c>
    </row>
    <row r="222">
      <c r="A222" s="5" t="n">
        <v>217</v>
      </c>
      <c r="B222" s="27" t="inlineStr">
        <is>
          <t>Hasankale</t>
        </is>
      </c>
      <c r="C222" s="7" t="n">
        <v>138</v>
      </c>
      <c r="D222" s="7" t="n">
        <v>8689</v>
      </c>
      <c r="E222" s="7" t="n"/>
      <c r="F222" s="7" t="n">
        <v>12076.7</v>
      </c>
      <c r="G222" s="7" t="n">
        <v>6925.235</v>
      </c>
      <c r="H222" s="7" t="n">
        <v>23415</v>
      </c>
      <c r="I222" s="7" t="n">
        <v>43.05</v>
      </c>
      <c r="J222" s="7" t="n">
        <v>20368.9</v>
      </c>
      <c r="K222" s="7" t="n">
        <v>490</v>
      </c>
      <c r="L222" s="7" t="n">
        <v>10296.24</v>
      </c>
      <c r="M222" s="7" t="n"/>
      <c r="N222" s="7" t="n">
        <v>9518.559999999999</v>
      </c>
      <c r="O222" s="7" t="n"/>
      <c r="P222" s="7" t="n">
        <v>7150</v>
      </c>
      <c r="Q222" s="7" t="n"/>
      <c r="R222" s="7" t="n">
        <v>5626</v>
      </c>
      <c r="S222" s="7" t="n"/>
      <c r="T222" s="7" t="n">
        <v>5746.4</v>
      </c>
      <c r="U222" s="7" t="n"/>
      <c r="V222" s="7" t="n">
        <v>1153.6</v>
      </c>
      <c r="W222" s="7" t="n">
        <v>383.652</v>
      </c>
      <c r="X222" s="7" t="n"/>
      <c r="Y222" s="7" t="n"/>
      <c r="Z222" s="7" t="n"/>
      <c r="AA222" s="7" t="n">
        <v>11</v>
      </c>
      <c r="AB222" s="7" t="n">
        <v>221</v>
      </c>
      <c r="AC222" s="7" t="n"/>
      <c r="AD222" s="7" t="n"/>
      <c r="AE222" s="8">
        <f>SUM(C222,E222,G222,I222,K222,M222,O222,Q222,S222,U222,W222,Y222,AA222,AC222)</f>
        <v/>
      </c>
      <c r="AF222" s="8">
        <f>SUM(D222,F222,H222,J222,L222,N222,P222,R222,T222,V222,X222,Z222,AB222,AD222)</f>
        <v/>
      </c>
      <c r="AG222" s="8">
        <f>AE222+AF222</f>
        <v/>
      </c>
    </row>
    <row r="223">
      <c r="A223" s="10" t="n">
        <v>218</v>
      </c>
      <c r="B223" s="28" t="inlineStr">
        <is>
          <t>Aydın</t>
        </is>
      </c>
      <c r="C223" s="12" t="n">
        <v>54073.68</v>
      </c>
      <c r="D223" s="12" t="n">
        <v>10853.731</v>
      </c>
      <c r="E223" s="12" t="n">
        <v>23463</v>
      </c>
      <c r="F223" s="12" t="n">
        <v>9473.299999999999</v>
      </c>
      <c r="G223" s="12" t="n">
        <v>221.5</v>
      </c>
      <c r="H223" s="12" t="n">
        <v>1312.9</v>
      </c>
      <c r="I223" s="12" t="n">
        <v>50</v>
      </c>
      <c r="J223" s="12" t="n">
        <v>40</v>
      </c>
      <c r="K223" s="12" t="n">
        <v>139.77</v>
      </c>
      <c r="L223" s="12" t="n">
        <v>40</v>
      </c>
      <c r="M223" s="12" t="n"/>
      <c r="N223" s="12" t="n">
        <v>215.845</v>
      </c>
      <c r="O223" s="12" t="n">
        <v>102.41</v>
      </c>
      <c r="P223" s="12" t="n">
        <v>108</v>
      </c>
      <c r="Q223" s="12" t="n">
        <v>10</v>
      </c>
      <c r="R223" s="12" t="n">
        <v>975.129</v>
      </c>
      <c r="S223" s="12" t="n">
        <v>1077.615</v>
      </c>
      <c r="T223" s="12" t="n">
        <v>304</v>
      </c>
      <c r="U223" s="12" t="n">
        <v>705.615</v>
      </c>
      <c r="V223" s="12" t="n">
        <v>636.147</v>
      </c>
      <c r="W223" s="12" t="n">
        <v>639.8</v>
      </c>
      <c r="X223" s="12" t="n">
        <v>634.23</v>
      </c>
      <c r="Y223" s="12" t="n">
        <v>1178.647</v>
      </c>
      <c r="Z223" s="12" t="n">
        <v>1080.41</v>
      </c>
      <c r="AA223" s="12" t="n">
        <v>1310.074</v>
      </c>
      <c r="AB223" s="12" t="n">
        <v>1921.87</v>
      </c>
      <c r="AC223" s="12" t="n">
        <v>448.465</v>
      </c>
      <c r="AD223" s="12" t="n">
        <v>329.815</v>
      </c>
      <c r="AE223" s="13">
        <f>SUM(C223,E223,G223,I223,K223,M223,O223,Q223,S223,U223,W223,Y223,AA223,AC223)</f>
        <v/>
      </c>
      <c r="AF223" s="13">
        <f>SUM(D223,F223,H223,J223,L223,N223,P223,R223,T223,V223,X223,Z223,AB223,AD223)</f>
        <v/>
      </c>
      <c r="AG223" s="13">
        <f>AE223+AF223</f>
        <v/>
      </c>
    </row>
    <row r="224">
      <c r="A224" s="5" t="n">
        <v>219</v>
      </c>
      <c r="B224" s="27" t="inlineStr">
        <is>
          <t>Gümüşgün</t>
        </is>
      </c>
      <c r="C224" s="7" t="n">
        <v>11697.2</v>
      </c>
      <c r="D224" s="7" t="n">
        <v>11854.33</v>
      </c>
      <c r="E224" s="7" t="n">
        <v>21191.2</v>
      </c>
      <c r="F224" s="7" t="n">
        <v>16267.9</v>
      </c>
      <c r="G224" s="7" t="n">
        <v>14270.55</v>
      </c>
      <c r="H224" s="7" t="n">
        <v>11648.1</v>
      </c>
      <c r="I224" s="7" t="n"/>
      <c r="J224" s="7" t="n">
        <v>2229.615</v>
      </c>
      <c r="K224" s="7" t="n">
        <v>1020</v>
      </c>
      <c r="L224" s="7" t="n">
        <v>14170.525</v>
      </c>
      <c r="M224" s="7" t="n">
        <v>426.445</v>
      </c>
      <c r="N224" s="7" t="n">
        <v>5744.343</v>
      </c>
      <c r="O224" s="7" t="n">
        <v>60</v>
      </c>
      <c r="P224" s="7" t="n">
        <v>23.5</v>
      </c>
      <c r="Q224" s="7" t="n">
        <v>7</v>
      </c>
      <c r="R224" s="7" t="n">
        <v>143.5</v>
      </c>
      <c r="S224" s="7" t="n">
        <v>3</v>
      </c>
      <c r="T224" s="7" t="n">
        <v>112.12</v>
      </c>
      <c r="U224" s="7" t="n">
        <v>5</v>
      </c>
      <c r="V224" s="7" t="n">
        <v>2</v>
      </c>
      <c r="W224" s="7" t="n">
        <v>8</v>
      </c>
      <c r="X224" s="7" t="n">
        <v>98.06</v>
      </c>
      <c r="Y224" s="7" t="n">
        <v>2</v>
      </c>
      <c r="Z224" s="7" t="n">
        <v>88</v>
      </c>
      <c r="AA224" s="7" t="n"/>
      <c r="AB224" s="7" t="n">
        <v>157</v>
      </c>
      <c r="AC224" s="7" t="n"/>
      <c r="AD224" s="7" t="n">
        <v>75.12</v>
      </c>
      <c r="AE224" s="8">
        <f>SUM(C224,E224,G224,I224,K224,M224,O224,Q224,S224,U224,W224,Y224,AA224,AC224)</f>
        <v/>
      </c>
      <c r="AF224" s="8">
        <f>SUM(D224,F224,H224,J224,L224,N224,P224,R224,T224,V224,X224,Z224,AB224,AD224)</f>
        <v/>
      </c>
      <c r="AG224" s="8">
        <f>AE224+AF224</f>
        <v/>
      </c>
    </row>
    <row r="225">
      <c r="A225" s="10" t="n">
        <v>220</v>
      </c>
      <c r="B225" s="28" t="inlineStr">
        <is>
          <t>İliç</t>
        </is>
      </c>
      <c r="C225" s="12" t="n">
        <v>6974.9</v>
      </c>
      <c r="D225" s="12" t="n">
        <v>33390.225</v>
      </c>
      <c r="E225" s="12" t="n">
        <v>2064.1</v>
      </c>
      <c r="F225" s="12" t="n">
        <v>66436.22</v>
      </c>
      <c r="G225" s="12" t="n"/>
      <c r="H225" s="12" t="n">
        <v>20</v>
      </c>
      <c r="I225" s="12" t="n"/>
      <c r="J225" s="12" t="n">
        <v>0</v>
      </c>
      <c r="K225" s="12" t="n"/>
      <c r="L225" s="12" t="n"/>
      <c r="M225" s="12" t="n">
        <v>216.505</v>
      </c>
      <c r="N225" s="12" t="n">
        <v>413</v>
      </c>
      <c r="O225" s="12" t="n"/>
      <c r="P225" s="12" t="n">
        <v>26</v>
      </c>
      <c r="Q225" s="12" t="n"/>
      <c r="R225" s="12" t="n"/>
      <c r="S225" s="12" t="n"/>
      <c r="T225" s="12" t="n"/>
      <c r="U225" s="12" t="n"/>
      <c r="V225" s="12" t="n">
        <v>260</v>
      </c>
      <c r="W225" s="12" t="n"/>
      <c r="X225" s="12" t="n"/>
      <c r="Y225" s="12" t="n"/>
      <c r="Z225" s="12" t="n"/>
      <c r="AA225" s="12" t="n">
        <v>11</v>
      </c>
      <c r="AB225" s="12" t="n">
        <v>100</v>
      </c>
      <c r="AC225" s="12" t="n"/>
      <c r="AD225" s="12" t="n"/>
      <c r="AE225" s="13">
        <f>SUM(C225,E225,G225,I225,K225,M225,O225,Q225,S225,U225,W225,Y225,AA225,AC225)</f>
        <v/>
      </c>
      <c r="AF225" s="13">
        <f>SUM(D225,F225,H225,J225,L225,N225,P225,R225,T225,V225,X225,Z225,AB225,AD225)</f>
        <v/>
      </c>
      <c r="AG225" s="13">
        <f>AE225+AF225</f>
        <v/>
      </c>
    </row>
    <row r="226">
      <c r="A226" s="5" t="n">
        <v>221</v>
      </c>
      <c r="B226" s="27" t="inlineStr">
        <is>
          <t>Aliağa</t>
        </is>
      </c>
      <c r="C226" s="7" t="n">
        <v>15446.975</v>
      </c>
      <c r="D226" s="7" t="n">
        <v>1215.18</v>
      </c>
      <c r="E226" s="7" t="n">
        <v>2732.04</v>
      </c>
      <c r="F226" s="7" t="n">
        <v>1365.07</v>
      </c>
      <c r="G226" s="7" t="n">
        <v>1742.89</v>
      </c>
      <c r="H226" s="7" t="n">
        <v>1266.99</v>
      </c>
      <c r="I226" s="7" t="n"/>
      <c r="J226" s="7" t="n">
        <v>31.8</v>
      </c>
      <c r="K226" s="7" t="n">
        <v>27647.01</v>
      </c>
      <c r="L226" s="7" t="n">
        <v>57075.515</v>
      </c>
      <c r="M226" s="7" t="n"/>
      <c r="N226" s="7" t="n"/>
      <c r="O226" s="7" t="n"/>
      <c r="P226" s="7" t="n"/>
      <c r="Q226" s="7" t="n"/>
      <c r="R226" s="7" t="n"/>
      <c r="S226" s="7" t="n"/>
      <c r="T226" s="7" t="n"/>
      <c r="U226" s="7" t="n"/>
      <c r="V226" s="7" t="n">
        <v>150</v>
      </c>
      <c r="W226" s="7" t="n"/>
      <c r="X226" s="7" t="n"/>
      <c r="Y226" s="7" t="n">
        <v>63</v>
      </c>
      <c r="Z226" s="7" t="n">
        <v>450</v>
      </c>
      <c r="AA226" s="7" t="n"/>
      <c r="AB226" s="7" t="n"/>
      <c r="AC226" s="7" t="n"/>
      <c r="AD226" s="7" t="n"/>
      <c r="AE226" s="8">
        <f>SUM(C226,E226,G226,I226,K226,M226,O226,Q226,S226,U226,W226,Y226,AA226,AC226)</f>
        <v/>
      </c>
      <c r="AF226" s="8">
        <f>SUM(D226,F226,H226,J226,L226,N226,P226,R226,T226,V226,X226,Z226,AB226,AD226)</f>
        <v/>
      </c>
      <c r="AG226" s="8">
        <f>AE226+AF226</f>
        <v/>
      </c>
    </row>
    <row r="227">
      <c r="A227" s="10" t="n">
        <v>222</v>
      </c>
      <c r="B227" s="28" t="inlineStr">
        <is>
          <t>Kaşınhan</t>
        </is>
      </c>
      <c r="C227" s="12" t="n">
        <v>129</v>
      </c>
      <c r="D227" s="12" t="n"/>
      <c r="E227" s="12" t="n">
        <v>1078.75</v>
      </c>
      <c r="F227" s="12" t="n">
        <v>18645.996</v>
      </c>
      <c r="G227" s="12" t="n">
        <v>2740.165</v>
      </c>
      <c r="H227" s="12" t="n">
        <v>76666.05</v>
      </c>
      <c r="I227" s="12" t="n">
        <v>1923.36</v>
      </c>
      <c r="J227" s="12" t="n">
        <v>3947.2</v>
      </c>
      <c r="K227" s="12" t="n">
        <v>25</v>
      </c>
      <c r="L227" s="12" t="n">
        <v>44.495</v>
      </c>
      <c r="M227" s="12" t="n">
        <v>409.2</v>
      </c>
      <c r="N227" s="12" t="n"/>
      <c r="O227" s="12" t="n">
        <v>489.91</v>
      </c>
      <c r="P227" s="12" t="n">
        <v>1000</v>
      </c>
      <c r="Q227" s="12" t="n"/>
      <c r="R227" s="12" t="n"/>
      <c r="S227" s="12" t="n">
        <v>319.935</v>
      </c>
      <c r="T227" s="12" t="n">
        <v>650</v>
      </c>
      <c r="U227" s="12" t="n"/>
      <c r="V227" s="12" t="n"/>
      <c r="W227" s="12" t="n"/>
      <c r="X227" s="12" t="n"/>
      <c r="Y227" s="12" t="n"/>
      <c r="Z227" s="12" t="n"/>
      <c r="AA227" s="12" t="n"/>
      <c r="AB227" s="12" t="n"/>
      <c r="AC227" s="12" t="n"/>
      <c r="AD227" s="12" t="n"/>
      <c r="AE227" s="13">
        <f>SUM(C227,E227,G227,I227,K227,M227,O227,Q227,S227,U227,W227,Y227,AA227,AC227)</f>
        <v/>
      </c>
      <c r="AF227" s="13">
        <f>SUM(D227,F227,H227,J227,L227,N227,P227,R227,T227,V227,X227,Z227,AB227,AD227)</f>
        <v/>
      </c>
      <c r="AG227" s="13">
        <f>AE227+AF227</f>
        <v/>
      </c>
    </row>
    <row r="228">
      <c r="A228" s="5" t="n">
        <v>223</v>
      </c>
      <c r="B228" s="27" t="inlineStr">
        <is>
          <t>Değirmisaz</t>
        </is>
      </c>
      <c r="C228" s="7" t="n"/>
      <c r="D228" s="7" t="n"/>
      <c r="E228" s="7" t="n">
        <v>18783.98</v>
      </c>
      <c r="F228" s="7" t="n">
        <v>1900.8</v>
      </c>
      <c r="G228" s="7" t="n">
        <v>40709.01</v>
      </c>
      <c r="H228" s="7" t="n">
        <v>33170.695</v>
      </c>
      <c r="I228" s="7" t="n"/>
      <c r="J228" s="7" t="n"/>
      <c r="K228" s="7" t="n">
        <v>31.7</v>
      </c>
      <c r="L228" s="7" t="n">
        <v>31.7</v>
      </c>
      <c r="M228" s="7" t="n">
        <v>4233.17</v>
      </c>
      <c r="N228" s="7" t="n">
        <v>910</v>
      </c>
      <c r="O228" s="7" t="n">
        <v>2281.08</v>
      </c>
      <c r="P228" s="7" t="n">
        <v>400</v>
      </c>
      <c r="Q228" s="7" t="n"/>
      <c r="R228" s="7" t="n"/>
      <c r="S228" s="7" t="n"/>
      <c r="T228" s="7" t="n">
        <v>1431.72</v>
      </c>
      <c r="U228" s="7" t="n"/>
      <c r="V228" s="7" t="n"/>
      <c r="W228" s="7" t="n"/>
      <c r="X228" s="7" t="n"/>
      <c r="Y228" s="7" t="n"/>
      <c r="Z228" s="7" t="n"/>
      <c r="AA228" s="7" t="n"/>
      <c r="AB228" s="7" t="n"/>
      <c r="AC228" s="7" t="n"/>
      <c r="AD228" s="7" t="n"/>
      <c r="AE228" s="8">
        <f>SUM(C228,E228,G228,I228,K228,M228,O228,Q228,S228,U228,W228,Y228,AA228,AC228)</f>
        <v/>
      </c>
      <c r="AF228" s="8">
        <f>SUM(D228,F228,H228,J228,L228,N228,P228,R228,T228,V228,X228,Z228,AB228,AD228)</f>
        <v/>
      </c>
      <c r="AG228" s="8">
        <f>AE228+AF228</f>
        <v/>
      </c>
    </row>
    <row r="229">
      <c r="A229" s="10" t="n">
        <v>224</v>
      </c>
      <c r="B229" s="28" t="inlineStr">
        <is>
          <t>Kürk</t>
        </is>
      </c>
      <c r="C229" s="12" t="n"/>
      <c r="D229" s="12" t="n"/>
      <c r="E229" s="12" t="n"/>
      <c r="F229" s="12" t="n">
        <v>150</v>
      </c>
      <c r="G229" s="12" t="n"/>
      <c r="H229" s="12" t="n">
        <v>5188</v>
      </c>
      <c r="I229" s="12" t="n"/>
      <c r="J229" s="12" t="n">
        <v>2745.48</v>
      </c>
      <c r="K229" s="12" t="n">
        <v>542.4</v>
      </c>
      <c r="L229" s="12" t="n">
        <v>59924.77</v>
      </c>
      <c r="M229" s="12" t="n">
        <v>74.19499999999999</v>
      </c>
      <c r="N229" s="12" t="n">
        <v>1177.2</v>
      </c>
      <c r="O229" s="12" t="n">
        <v>7954.985</v>
      </c>
      <c r="P229" s="12" t="n">
        <v>14948.405</v>
      </c>
      <c r="Q229" s="12" t="n">
        <v>3205.055</v>
      </c>
      <c r="R229" s="12" t="n">
        <v>5554.815</v>
      </c>
      <c r="S229" s="12" t="n">
        <v>585.1</v>
      </c>
      <c r="T229" s="12" t="n">
        <v>1304</v>
      </c>
      <c r="U229" s="12" t="n"/>
      <c r="V229" s="12" t="n">
        <v>0</v>
      </c>
      <c r="W229" s="12" t="n"/>
      <c r="X229" s="12" t="n"/>
      <c r="Y229" s="12" t="n"/>
      <c r="Z229" s="12" t="n"/>
      <c r="AA229" s="12" t="n"/>
      <c r="AB229" s="12" t="n"/>
      <c r="AC229" s="12" t="n"/>
      <c r="AD229" s="12" t="n"/>
      <c r="AE229" s="13">
        <f>SUM(C229,E229,G229,I229,K229,M229,O229,Q229,S229,U229,W229,Y229,AA229,AC229)</f>
        <v/>
      </c>
      <c r="AF229" s="13">
        <f>SUM(D229,F229,H229,J229,L229,N229,P229,R229,T229,V229,X229,Z229,AB229,AD229)</f>
        <v/>
      </c>
      <c r="AG229" s="13">
        <f>AE229+AF229</f>
        <v/>
      </c>
    </row>
    <row r="230">
      <c r="A230" s="5" t="n">
        <v>225</v>
      </c>
      <c r="B230" s="27" t="inlineStr">
        <is>
          <t>Akyaka</t>
        </is>
      </c>
      <c r="C230" s="7" t="n">
        <v>44757</v>
      </c>
      <c r="D230" s="7" t="n">
        <v>25686</v>
      </c>
      <c r="E230" s="7" t="n"/>
      <c r="F230" s="7" t="n">
        <v>8840</v>
      </c>
      <c r="G230" s="7" t="n"/>
      <c r="H230" s="7" t="n">
        <v>350</v>
      </c>
      <c r="I230" s="7" t="n">
        <v>1112.09</v>
      </c>
      <c r="J230" s="7" t="n">
        <v>13110.68</v>
      </c>
      <c r="K230" s="7" t="n">
        <v>583.55</v>
      </c>
      <c r="L230" s="7" t="n">
        <v>5794.725</v>
      </c>
      <c r="M230" s="7" t="n">
        <v>105</v>
      </c>
      <c r="N230" s="7" t="n">
        <v>1823</v>
      </c>
      <c r="O230" s="7" t="n"/>
      <c r="P230" s="7" t="n"/>
      <c r="Q230" s="7" t="n"/>
      <c r="R230" s="7" t="n">
        <v>60</v>
      </c>
      <c r="S230" s="7" t="n"/>
      <c r="T230" s="7" t="n"/>
      <c r="U230" s="7" t="n"/>
      <c r="V230" s="7" t="n">
        <v>216</v>
      </c>
      <c r="W230" s="7" t="n"/>
      <c r="X230" s="7" t="n">
        <v>503.4</v>
      </c>
      <c r="Y230" s="7" t="n"/>
      <c r="Z230" s="7" t="n">
        <v>179.5</v>
      </c>
      <c r="AA230" s="7" t="n">
        <v>2</v>
      </c>
      <c r="AB230" s="7" t="n">
        <v>21</v>
      </c>
      <c r="AC230" s="7" t="n"/>
      <c r="AD230" s="7" t="n"/>
      <c r="AE230" s="8">
        <f>SUM(C230,E230,G230,I230,K230,M230,O230,Q230,S230,U230,W230,Y230,AA230,AC230)</f>
        <v/>
      </c>
      <c r="AF230" s="8">
        <f>SUM(D230,F230,H230,J230,L230,N230,P230,R230,T230,V230,X230,Z230,AB230,AD230)</f>
        <v/>
      </c>
      <c r="AG230" s="8">
        <f>AE230+AF230</f>
        <v/>
      </c>
    </row>
    <row r="231">
      <c r="A231" s="10" t="n">
        <v>226</v>
      </c>
      <c r="B231" s="28" t="inlineStr">
        <is>
          <t>Karaosman</t>
        </is>
      </c>
      <c r="C231" s="12" t="n">
        <v>35348.2</v>
      </c>
      <c r="D231" s="12" t="n">
        <v>330</v>
      </c>
      <c r="E231" s="12" t="n">
        <v>46229.8</v>
      </c>
      <c r="F231" s="12" t="n"/>
      <c r="G231" s="12" t="n">
        <v>13213.4</v>
      </c>
      <c r="H231" s="12" t="n">
        <v>331.5</v>
      </c>
      <c r="I231" s="12" t="n">
        <v>3160.6</v>
      </c>
      <c r="J231" s="12" t="n"/>
      <c r="K231" s="12" t="n"/>
      <c r="L231" s="12" t="n">
        <v>275.5</v>
      </c>
      <c r="M231" s="12" t="n"/>
      <c r="N231" s="12" t="n"/>
      <c r="O231" s="12" t="n"/>
      <c r="P231" s="12" t="n"/>
      <c r="Q231" s="12" t="n"/>
      <c r="R231" s="12" t="n"/>
      <c r="S231" s="12" t="n"/>
      <c r="T231" s="12" t="n"/>
      <c r="U231" s="12" t="n"/>
      <c r="V231" s="12" t="n"/>
      <c r="W231" s="12" t="n"/>
      <c r="X231" s="12" t="n"/>
      <c r="Y231" s="12" t="n"/>
      <c r="Z231" s="12" t="n"/>
      <c r="AA231" s="12" t="n"/>
      <c r="AB231" s="12" t="n"/>
      <c r="AC231" s="12" t="n"/>
      <c r="AD231" s="12" t="n">
        <v>2722.8</v>
      </c>
      <c r="AE231" s="13">
        <f>SUM(C231,E231,G231,I231,K231,M231,O231,Q231,S231,U231,W231,Y231,AA231,AC231)</f>
        <v/>
      </c>
      <c r="AF231" s="13">
        <f>SUM(D231,F231,H231,J231,L231,N231,P231,R231,T231,V231,X231,Z231,AB231,AD231)</f>
        <v/>
      </c>
      <c r="AG231" s="13">
        <f>AE231+AF231</f>
        <v/>
      </c>
    </row>
    <row r="232">
      <c r="A232" s="5" t="n">
        <v>227</v>
      </c>
      <c r="B232" s="27" t="inlineStr">
        <is>
          <t>Malıköy</t>
        </is>
      </c>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v>1977.19</v>
      </c>
      <c r="Z232" s="7" t="n">
        <v>4677.739</v>
      </c>
      <c r="AA232" s="7" t="n">
        <v>9673.975</v>
      </c>
      <c r="AB232" s="7" t="n">
        <v>19998.713</v>
      </c>
      <c r="AC232" s="7" t="n">
        <v>37222.28</v>
      </c>
      <c r="AD232" s="7" t="n">
        <v>23331.04</v>
      </c>
      <c r="AE232" s="8">
        <f>SUM(C232,E232,G232,I232,K232,M232,O232,Q232,S232,U232,W232,Y232,AA232,AC232)</f>
        <v/>
      </c>
      <c r="AF232" s="8">
        <f>SUM(D232,F232,H232,J232,L232,N232,P232,R232,T232,V232,X232,Z232,AB232,AD232)</f>
        <v/>
      </c>
      <c r="AG232" s="8">
        <f>AE232+AF232</f>
        <v/>
      </c>
    </row>
    <row r="233">
      <c r="A233" s="10" t="n">
        <v>228</v>
      </c>
      <c r="B233" s="28" t="inlineStr">
        <is>
          <t>Sudurağı</t>
        </is>
      </c>
      <c r="C233" s="12" t="n"/>
      <c r="D233" s="12" t="n"/>
      <c r="E233" s="12" t="n">
        <v>17325.5</v>
      </c>
      <c r="F233" s="12" t="n">
        <v>19578.79</v>
      </c>
      <c r="G233" s="12" t="n"/>
      <c r="H233" s="12" t="n">
        <v>40</v>
      </c>
      <c r="I233" s="12" t="n"/>
      <c r="J233" s="12" t="n"/>
      <c r="K233" s="12" t="n">
        <v>18</v>
      </c>
      <c r="L233" s="12" t="n">
        <v>8798.022000000001</v>
      </c>
      <c r="M233" s="12" t="n">
        <v>180</v>
      </c>
      <c r="N233" s="12" t="n">
        <v>13617.965</v>
      </c>
      <c r="O233" s="12" t="n">
        <v>375</v>
      </c>
      <c r="P233" s="12" t="n">
        <v>1678.8</v>
      </c>
      <c r="Q233" s="12" t="n">
        <v>12272.3</v>
      </c>
      <c r="R233" s="12" t="n">
        <v>157.612</v>
      </c>
      <c r="S233" s="12" t="n">
        <v>6566.42</v>
      </c>
      <c r="T233" s="12" t="n">
        <v>1135.82</v>
      </c>
      <c r="U233" s="12" t="n">
        <v>6339.05</v>
      </c>
      <c r="V233" s="12" t="n">
        <v>292</v>
      </c>
      <c r="W233" s="12" t="n">
        <v>5228.125</v>
      </c>
      <c r="X233" s="12" t="n">
        <v>193.725</v>
      </c>
      <c r="Y233" s="12" t="n"/>
      <c r="Z233" s="12" t="n">
        <v>1000</v>
      </c>
      <c r="AA233" s="12" t="n"/>
      <c r="AB233" s="12" t="n"/>
      <c r="AC233" s="12" t="n"/>
      <c r="AD233" s="12" t="n"/>
      <c r="AE233" s="13">
        <f>SUM(C233,E233,G233,I233,K233,M233,O233,Q233,S233,U233,W233,Y233,AA233,AC233)</f>
        <v/>
      </c>
      <c r="AF233" s="13">
        <f>SUM(D233,F233,H233,J233,L233,N233,P233,R233,T233,V233,X233,Z233,AB233,AD233)</f>
        <v/>
      </c>
      <c r="AG233" s="13">
        <f>AE233+AF233</f>
        <v/>
      </c>
    </row>
    <row r="234">
      <c r="A234" s="5" t="n">
        <v>229</v>
      </c>
      <c r="B234" s="27" t="inlineStr">
        <is>
          <t>Irmak</t>
        </is>
      </c>
      <c r="C234" s="7" t="n">
        <v>1441.853</v>
      </c>
      <c r="D234" s="7" t="n">
        <v>4464.02</v>
      </c>
      <c r="E234" s="7" t="n">
        <v>470.45</v>
      </c>
      <c r="F234" s="7" t="n">
        <v>7464.779</v>
      </c>
      <c r="G234" s="7" t="n">
        <v>638.548</v>
      </c>
      <c r="H234" s="7" t="n">
        <v>5972.721</v>
      </c>
      <c r="I234" s="7" t="n">
        <v>157</v>
      </c>
      <c r="J234" s="7" t="n">
        <v>8021.148</v>
      </c>
      <c r="K234" s="7" t="n">
        <v>849.086</v>
      </c>
      <c r="L234" s="7" t="n">
        <v>7852.915</v>
      </c>
      <c r="M234" s="7" t="n">
        <v>1561.481</v>
      </c>
      <c r="N234" s="7" t="n">
        <v>10962.425</v>
      </c>
      <c r="O234" s="7" t="n">
        <v>2205.002</v>
      </c>
      <c r="P234" s="7" t="n">
        <v>8335.65</v>
      </c>
      <c r="Q234" s="7" t="n">
        <v>733.6</v>
      </c>
      <c r="R234" s="7" t="n">
        <v>3097.215</v>
      </c>
      <c r="S234" s="7" t="n">
        <v>2243.275</v>
      </c>
      <c r="T234" s="7" t="n">
        <v>4521.145</v>
      </c>
      <c r="U234" s="7" t="n">
        <v>518.1799999999999</v>
      </c>
      <c r="V234" s="7" t="n">
        <v>1844.156</v>
      </c>
      <c r="W234" s="7" t="n">
        <v>2373.15</v>
      </c>
      <c r="X234" s="7" t="n">
        <v>3637.347</v>
      </c>
      <c r="Y234" s="7" t="n">
        <v>950.17</v>
      </c>
      <c r="Z234" s="7" t="n">
        <v>4759.04</v>
      </c>
      <c r="AA234" s="7" t="n">
        <v>1477.745</v>
      </c>
      <c r="AB234" s="7" t="n">
        <v>3977.2</v>
      </c>
      <c r="AC234" s="7" t="n">
        <v>703.73</v>
      </c>
      <c r="AD234" s="7" t="n">
        <v>1499.93</v>
      </c>
      <c r="AE234" s="8">
        <f>SUM(C234,E234,G234,I234,K234,M234,O234,Q234,S234,U234,W234,Y234,AA234,AC234)</f>
        <v/>
      </c>
      <c r="AF234" s="8">
        <f>SUM(D234,F234,H234,J234,L234,N234,P234,R234,T234,V234,X234,Z234,AB234,AD234)</f>
        <v/>
      </c>
      <c r="AG234" s="8">
        <f>AE234+AF234</f>
        <v/>
      </c>
    </row>
    <row r="235">
      <c r="A235" s="10" t="n">
        <v>230</v>
      </c>
      <c r="B235" s="28" t="inlineStr">
        <is>
          <t>Turhal</t>
        </is>
      </c>
      <c r="C235" s="12" t="n">
        <v>23189.66</v>
      </c>
      <c r="D235" s="12" t="n">
        <v>807.8</v>
      </c>
      <c r="E235" s="12" t="n">
        <v>31988.16</v>
      </c>
      <c r="F235" s="12" t="n">
        <v>948</v>
      </c>
      <c r="G235" s="12" t="n">
        <v>13447.1</v>
      </c>
      <c r="H235" s="12" t="n">
        <v>42.82</v>
      </c>
      <c r="I235" s="12" t="n"/>
      <c r="J235" s="12" t="n"/>
      <c r="K235" s="12" t="n"/>
      <c r="L235" s="12" t="n"/>
      <c r="M235" s="12" t="n"/>
      <c r="N235" s="12" t="n"/>
      <c r="O235" s="12" t="n"/>
      <c r="P235" s="12" t="n"/>
      <c r="Q235" s="12" t="n">
        <v>913.5</v>
      </c>
      <c r="R235" s="12" t="n">
        <v>271.65</v>
      </c>
      <c r="S235" s="12" t="n">
        <v>458.5</v>
      </c>
      <c r="T235" s="12" t="n">
        <v>886</v>
      </c>
      <c r="U235" s="12" t="n">
        <v>6924.41</v>
      </c>
      <c r="V235" s="12" t="n">
        <v>21</v>
      </c>
      <c r="W235" s="12" t="n">
        <v>5332.29</v>
      </c>
      <c r="X235" s="12" t="n">
        <v>10</v>
      </c>
      <c r="Y235" s="12" t="n">
        <v>4822.595</v>
      </c>
      <c r="Z235" s="12" t="n">
        <v>13.31</v>
      </c>
      <c r="AA235" s="12" t="n">
        <v>2307.875</v>
      </c>
      <c r="AB235" s="12" t="n"/>
      <c r="AC235" s="12" t="n"/>
      <c r="AD235" s="12" t="n"/>
      <c r="AE235" s="13">
        <f>SUM(C235,E235,G235,I235,K235,M235,O235,Q235,S235,U235,W235,Y235,AA235,AC235)</f>
        <v/>
      </c>
      <c r="AF235" s="13">
        <f>SUM(D235,F235,H235,J235,L235,N235,P235,R235,T235,V235,X235,Z235,AB235,AD235)</f>
        <v/>
      </c>
      <c r="AG235" s="13">
        <f>AE235+AF235</f>
        <v/>
      </c>
    </row>
    <row r="236">
      <c r="A236" s="5" t="n">
        <v>231</v>
      </c>
      <c r="B236" s="27" t="inlineStr">
        <is>
          <t>Kırıkkale</t>
        </is>
      </c>
      <c r="C236" s="7" t="n">
        <v>3662.19</v>
      </c>
      <c r="D236" s="7" t="n">
        <v>1754.49</v>
      </c>
      <c r="E236" s="7" t="n">
        <v>3286.67</v>
      </c>
      <c r="F236" s="7" t="n">
        <v>3370.9</v>
      </c>
      <c r="G236" s="7" t="n">
        <v>888.51</v>
      </c>
      <c r="H236" s="7" t="n">
        <v>9406.749</v>
      </c>
      <c r="I236" s="7" t="n">
        <v>1835.735</v>
      </c>
      <c r="J236" s="7" t="n">
        <v>6252.015</v>
      </c>
      <c r="K236" s="7" t="n">
        <v>2289.115</v>
      </c>
      <c r="L236" s="7" t="n">
        <v>2740.91</v>
      </c>
      <c r="M236" s="7" t="n">
        <v>815.715</v>
      </c>
      <c r="N236" s="7" t="n">
        <v>1510.25</v>
      </c>
      <c r="O236" s="7" t="n">
        <v>674.58</v>
      </c>
      <c r="P236" s="7" t="n">
        <v>2224.95</v>
      </c>
      <c r="Q236" s="7" t="n">
        <v>3327.795</v>
      </c>
      <c r="R236" s="7" t="n">
        <v>2561.74</v>
      </c>
      <c r="S236" s="7" t="n">
        <v>183.49</v>
      </c>
      <c r="T236" s="7" t="n">
        <v>966.08</v>
      </c>
      <c r="U236" s="7" t="n">
        <v>9678.83</v>
      </c>
      <c r="V236" s="7" t="n">
        <v>5716.02</v>
      </c>
      <c r="W236" s="7" t="n">
        <v>11446.6</v>
      </c>
      <c r="X236" s="7" t="n">
        <v>6950.905</v>
      </c>
      <c r="Y236" s="7" t="n">
        <v>5329.175</v>
      </c>
      <c r="Z236" s="7" t="n">
        <v>4187.007</v>
      </c>
      <c r="AA236" s="7" t="n">
        <v>119.138</v>
      </c>
      <c r="AB236" s="7" t="n">
        <v>157.7</v>
      </c>
      <c r="AC236" s="7" t="n"/>
      <c r="AD236" s="7" t="n">
        <v>650</v>
      </c>
      <c r="AE236" s="8">
        <f>SUM(C236,E236,G236,I236,K236,M236,O236,Q236,S236,U236,W236,Y236,AA236,AC236)</f>
        <v/>
      </c>
      <c r="AF236" s="8">
        <f>SUM(D236,F236,H236,J236,L236,N236,P236,R236,T236,V236,X236,Z236,AB236,AD236)</f>
        <v/>
      </c>
      <c r="AG236" s="8">
        <f>AE236+AF236</f>
        <v/>
      </c>
    </row>
    <row r="237">
      <c r="A237" s="10" t="n">
        <v>232</v>
      </c>
      <c r="B237" s="28" t="inlineStr">
        <is>
          <t>Amasya</t>
        </is>
      </c>
      <c r="C237" s="12" t="n">
        <v>30602.21</v>
      </c>
      <c r="D237" s="12" t="n">
        <v>2710.5</v>
      </c>
      <c r="E237" s="12" t="n">
        <v>18456.4</v>
      </c>
      <c r="F237" s="12" t="n">
        <v>1965.075</v>
      </c>
      <c r="G237" s="12" t="n">
        <v>9889.6</v>
      </c>
      <c r="H237" s="12" t="n">
        <v>483.373</v>
      </c>
      <c r="I237" s="12" t="n"/>
      <c r="J237" s="12" t="n"/>
      <c r="K237" s="12" t="n"/>
      <c r="L237" s="12" t="n"/>
      <c r="M237" s="12" t="n"/>
      <c r="N237" s="12" t="n"/>
      <c r="O237" s="12" t="n"/>
      <c r="P237" s="12" t="n"/>
      <c r="Q237" s="12" t="n"/>
      <c r="R237" s="12" t="n"/>
      <c r="S237" s="12" t="n">
        <v>48.956</v>
      </c>
      <c r="T237" s="12" t="n">
        <v>385.59</v>
      </c>
      <c r="U237" s="12" t="n">
        <v>2541.785</v>
      </c>
      <c r="V237" s="12" t="n">
        <v>287.95</v>
      </c>
      <c r="W237" s="12" t="n">
        <v>14605.379</v>
      </c>
      <c r="X237" s="12" t="n">
        <v>265.964</v>
      </c>
      <c r="Y237" s="12" t="n">
        <v>3942.538</v>
      </c>
      <c r="Z237" s="12" t="n">
        <v>137.065</v>
      </c>
      <c r="AA237" s="12" t="n">
        <v>0</v>
      </c>
      <c r="AB237" s="12" t="n">
        <v>3060.54</v>
      </c>
      <c r="AC237" s="12" t="n">
        <v>15</v>
      </c>
      <c r="AD237" s="12" t="n">
        <v>217</v>
      </c>
      <c r="AE237" s="13">
        <f>SUM(C237,E237,G237,I237,K237,M237,O237,Q237,S237,U237,W237,Y237,AA237,AC237)</f>
        <v/>
      </c>
      <c r="AF237" s="13">
        <f>SUM(D237,F237,H237,J237,L237,N237,P237,R237,T237,V237,X237,Z237,AB237,AD237)</f>
        <v/>
      </c>
      <c r="AG237" s="13">
        <f>AE237+AF237</f>
        <v/>
      </c>
    </row>
    <row r="238">
      <c r="A238" s="5" t="n">
        <v>233</v>
      </c>
      <c r="B238" s="27" t="inlineStr">
        <is>
          <t>Kadınhan</t>
        </is>
      </c>
      <c r="C238" s="7" t="n"/>
      <c r="D238" s="7" t="n"/>
      <c r="E238" s="7" t="n"/>
      <c r="F238" s="7" t="n"/>
      <c r="G238" s="7" t="n"/>
      <c r="H238" s="7" t="n"/>
      <c r="I238" s="7" t="n">
        <v>453</v>
      </c>
      <c r="J238" s="7" t="n">
        <v>32207.18</v>
      </c>
      <c r="K238" s="7" t="n">
        <v>12.7</v>
      </c>
      <c r="L238" s="7" t="n">
        <v>2055.685</v>
      </c>
      <c r="M238" s="7" t="n">
        <v>9975</v>
      </c>
      <c r="N238" s="7" t="n">
        <v>552.6</v>
      </c>
      <c r="O238" s="7" t="n">
        <v>34420.84</v>
      </c>
      <c r="P238" s="7" t="n">
        <v>2521.695</v>
      </c>
      <c r="Q238" s="7" t="n">
        <v>358.05</v>
      </c>
      <c r="R238" s="7" t="n">
        <v>1036.32</v>
      </c>
      <c r="S238" s="7" t="n">
        <v>3597</v>
      </c>
      <c r="T238" s="7" t="n">
        <v>1655</v>
      </c>
      <c r="U238" s="7" t="n"/>
      <c r="V238" s="7" t="n"/>
      <c r="W238" s="7" t="n"/>
      <c r="X238" s="7" t="n"/>
      <c r="Y238" s="7" t="n"/>
      <c r="Z238" s="7" t="n"/>
      <c r="AA238" s="7" t="n"/>
      <c r="AB238" s="7" t="n"/>
      <c r="AC238" s="7" t="n"/>
      <c r="AD238" s="7" t="n"/>
      <c r="AE238" s="8">
        <f>SUM(C238,E238,G238,I238,K238,M238,O238,Q238,S238,U238,W238,Y238,AA238,AC238)</f>
        <v/>
      </c>
      <c r="AF238" s="8">
        <f>SUM(D238,F238,H238,J238,L238,N238,P238,R238,T238,V238,X238,Z238,AB238,AD238)</f>
        <v/>
      </c>
      <c r="AG238" s="8">
        <f>AE238+AF238</f>
        <v/>
      </c>
    </row>
    <row r="239">
      <c r="A239" s="10" t="n">
        <v>234</v>
      </c>
      <c r="B239" s="28" t="inlineStr">
        <is>
          <t>Köprüköy</t>
        </is>
      </c>
      <c r="C239" s="12" t="n"/>
      <c r="D239" s="12" t="n">
        <v>4976.7</v>
      </c>
      <c r="E239" s="12" t="n"/>
      <c r="F239" s="12" t="n">
        <v>4936.1</v>
      </c>
      <c r="G239" s="12" t="n">
        <v>5195.71</v>
      </c>
      <c r="H239" s="12" t="n">
        <v>26958.023</v>
      </c>
      <c r="I239" s="12" t="n"/>
      <c r="J239" s="12" t="n">
        <v>6524.1</v>
      </c>
      <c r="K239" s="12" t="n">
        <v>5535</v>
      </c>
      <c r="L239" s="12" t="n">
        <v>16170</v>
      </c>
      <c r="M239" s="12" t="n">
        <v>884.385</v>
      </c>
      <c r="N239" s="12" t="n">
        <v>3852</v>
      </c>
      <c r="O239" s="12" t="n"/>
      <c r="P239" s="12" t="n">
        <v>844</v>
      </c>
      <c r="Q239" s="12" t="n"/>
      <c r="R239" s="12" t="n">
        <v>4122</v>
      </c>
      <c r="S239" s="12" t="n"/>
      <c r="T239" s="12" t="n">
        <v>7722</v>
      </c>
      <c r="U239" s="12" t="n"/>
      <c r="V239" s="12" t="n"/>
      <c r="W239" s="12" t="n"/>
      <c r="X239" s="12" t="n"/>
      <c r="Y239" s="12" t="n"/>
      <c r="Z239" s="12" t="n"/>
      <c r="AA239" s="12" t="n">
        <v>33</v>
      </c>
      <c r="AB239" s="12" t="n">
        <v>125</v>
      </c>
      <c r="AC239" s="12" t="n"/>
      <c r="AD239" s="12" t="n"/>
      <c r="AE239" s="13">
        <f>SUM(C239,E239,G239,I239,K239,M239,O239,Q239,S239,U239,W239,Y239,AA239,AC239)</f>
        <v/>
      </c>
      <c r="AF239" s="13">
        <f>SUM(D239,F239,H239,J239,L239,N239,P239,R239,T239,V239,X239,Z239,AB239,AD239)</f>
        <v/>
      </c>
      <c r="AG239" s="13">
        <f>AE239+AF239</f>
        <v/>
      </c>
    </row>
    <row r="240">
      <c r="A240" s="5" t="n">
        <v>235</v>
      </c>
      <c r="B240" s="27" t="inlineStr">
        <is>
          <t>Gecek</t>
        </is>
      </c>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v>18291.472</v>
      </c>
      <c r="Z240" s="7" t="n">
        <v>10737.555</v>
      </c>
      <c r="AA240" s="7" t="n">
        <v>22960.154</v>
      </c>
      <c r="AB240" s="7" t="n">
        <v>12549.24</v>
      </c>
      <c r="AC240" s="7" t="n">
        <v>15616.75</v>
      </c>
      <c r="AD240" s="7" t="n">
        <v>7564.545</v>
      </c>
      <c r="AE240" s="8">
        <f>SUM(C240,E240,G240,I240,K240,M240,O240,Q240,S240,U240,W240,Y240,AA240,AC240)</f>
        <v/>
      </c>
      <c r="AF240" s="8">
        <f>SUM(D240,F240,H240,J240,L240,N240,P240,R240,T240,V240,X240,Z240,AB240,AD240)</f>
        <v/>
      </c>
      <c r="AG240" s="8">
        <f>AE240+AF240</f>
        <v/>
      </c>
    </row>
    <row r="241">
      <c r="A241" s="10" t="n">
        <v>236</v>
      </c>
      <c r="B241" s="28" t="inlineStr">
        <is>
          <t>Ceyhan</t>
        </is>
      </c>
      <c r="C241" s="12" t="n">
        <v>123.2</v>
      </c>
      <c r="D241" s="12" t="n">
        <v>9215.91</v>
      </c>
      <c r="E241" s="12" t="n"/>
      <c r="F241" s="12" t="n">
        <v>20466.911</v>
      </c>
      <c r="G241" s="12" t="n"/>
      <c r="H241" s="12" t="n">
        <v>147</v>
      </c>
      <c r="I241" s="12" t="n">
        <v>86.7</v>
      </c>
      <c r="J241" s="12" t="n"/>
      <c r="K241" s="12" t="n">
        <v>6674.695</v>
      </c>
      <c r="L241" s="12" t="n">
        <v>13008.82</v>
      </c>
      <c r="M241" s="12" t="n">
        <v>4134.995</v>
      </c>
      <c r="N241" s="12" t="n">
        <v>8257.32</v>
      </c>
      <c r="O241" s="12" t="n">
        <v>2531.525</v>
      </c>
      <c r="P241" s="12" t="n">
        <v>4777.985</v>
      </c>
      <c r="Q241" s="12" t="n">
        <v>2216.815</v>
      </c>
      <c r="R241" s="12" t="n">
        <v>4352</v>
      </c>
      <c r="S241" s="12" t="n">
        <v>170.885</v>
      </c>
      <c r="T241" s="12" t="n">
        <v>634.74</v>
      </c>
      <c r="U241" s="12" t="n">
        <v>917.6</v>
      </c>
      <c r="V241" s="12" t="n">
        <v>1850</v>
      </c>
      <c r="W241" s="12" t="n"/>
      <c r="X241" s="12" t="n"/>
      <c r="Y241" s="12" t="n"/>
      <c r="Z241" s="12" t="n">
        <v>34</v>
      </c>
      <c r="AA241" s="12" t="n">
        <v>24.8</v>
      </c>
      <c r="AB241" s="12" t="n">
        <v>75</v>
      </c>
      <c r="AC241" s="12" t="n">
        <v>4204</v>
      </c>
      <c r="AD241" s="12" t="n"/>
      <c r="AE241" s="13">
        <f>SUM(C241,E241,G241,I241,K241,M241,O241,Q241,S241,U241,W241,Y241,AA241,AC241)</f>
        <v/>
      </c>
      <c r="AF241" s="13">
        <f>SUM(D241,F241,H241,J241,L241,N241,P241,R241,T241,V241,X241,Z241,AB241,AD241)</f>
        <v/>
      </c>
      <c r="AG241" s="13">
        <f>AE241+AF241</f>
        <v/>
      </c>
    </row>
    <row r="242">
      <c r="A242" s="5" t="n">
        <v>237</v>
      </c>
      <c r="B242" s="27" t="inlineStr">
        <is>
          <t>Pınarbaşı</t>
        </is>
      </c>
      <c r="C242" s="7" t="n">
        <v>1476.7</v>
      </c>
      <c r="D242" s="7" t="n">
        <v>4956</v>
      </c>
      <c r="E242" s="7" t="n">
        <v>1272.24</v>
      </c>
      <c r="F242" s="7" t="n">
        <v>8368.6</v>
      </c>
      <c r="G242" s="7" t="n">
        <v>122</v>
      </c>
      <c r="H242" s="7" t="n">
        <v>1386.5</v>
      </c>
      <c r="I242" s="7" t="n">
        <v>470.935</v>
      </c>
      <c r="J242" s="7" t="n">
        <v>870.755</v>
      </c>
      <c r="K242" s="7" t="n">
        <v>2100.135</v>
      </c>
      <c r="L242" s="7" t="n">
        <v>514.28</v>
      </c>
      <c r="M242" s="7" t="n">
        <v>1604.235</v>
      </c>
      <c r="N242" s="7" t="n">
        <v>26594.635</v>
      </c>
      <c r="O242" s="7" t="n">
        <v>460.495</v>
      </c>
      <c r="P242" s="7" t="n">
        <v>10328.115</v>
      </c>
      <c r="Q242" s="7" t="n">
        <v>5598.605</v>
      </c>
      <c r="R242" s="7" t="n">
        <v>10943.5</v>
      </c>
      <c r="S242" s="7" t="n">
        <v>2322.675</v>
      </c>
      <c r="T242" s="7" t="n">
        <v>4003.055</v>
      </c>
      <c r="U242" s="7" t="n"/>
      <c r="V242" s="7" t="n"/>
      <c r="W242" s="7" t="n">
        <v>35.6</v>
      </c>
      <c r="X242" s="7" t="n">
        <v>83.59999999999999</v>
      </c>
      <c r="Y242" s="7" t="n"/>
      <c r="Z242" s="7" t="n"/>
      <c r="AA242" s="7" t="n"/>
      <c r="AB242" s="7" t="n"/>
      <c r="AC242" s="7" t="n"/>
      <c r="AD242" s="7" t="n"/>
      <c r="AE242" s="8">
        <f>SUM(C242,E242,G242,I242,K242,M242,O242,Q242,S242,U242,W242,Y242,AA242,AC242)</f>
        <v/>
      </c>
      <c r="AF242" s="8">
        <f>SUM(D242,F242,H242,J242,L242,N242,P242,R242,T242,V242,X242,Z242,AB242,AD242)</f>
        <v/>
      </c>
      <c r="AG242" s="8">
        <f>AE242+AF242</f>
        <v/>
      </c>
    </row>
    <row r="243">
      <c r="A243" s="10" t="n">
        <v>238</v>
      </c>
      <c r="B243" s="28" t="inlineStr">
        <is>
          <t>Şarkışla</t>
        </is>
      </c>
      <c r="C243" s="12" t="n">
        <v>250.29</v>
      </c>
      <c r="D243" s="12" t="n">
        <v>1299.975</v>
      </c>
      <c r="E243" s="12" t="n">
        <v>7334.64</v>
      </c>
      <c r="F243" s="12" t="n">
        <v>14700</v>
      </c>
      <c r="G243" s="12" t="n">
        <v>152.14</v>
      </c>
      <c r="H243" s="12" t="n">
        <v>14773.64</v>
      </c>
      <c r="I243" s="12" t="n">
        <v>350</v>
      </c>
      <c r="J243" s="12" t="n">
        <v>21630.67</v>
      </c>
      <c r="K243" s="12" t="n"/>
      <c r="L243" s="12" t="n">
        <v>9935.6</v>
      </c>
      <c r="M243" s="12" t="n"/>
      <c r="N243" s="12" t="n">
        <v>25.825</v>
      </c>
      <c r="O243" s="12" t="n"/>
      <c r="P243" s="12" t="n">
        <v>409</v>
      </c>
      <c r="Q243" s="12" t="n">
        <v>3846.1</v>
      </c>
      <c r="R243" s="12" t="n">
        <v>6683.915</v>
      </c>
      <c r="S243" s="12" t="n"/>
      <c r="T243" s="12" t="n"/>
      <c r="U243" s="12" t="n"/>
      <c r="V243" s="12" t="n"/>
      <c r="W243" s="12" t="n"/>
      <c r="X243" s="12" t="n"/>
      <c r="Y243" s="12" t="n"/>
      <c r="Z243" s="12" t="n">
        <v>110.5</v>
      </c>
      <c r="AA243" s="12" t="n"/>
      <c r="AB243" s="12" t="n">
        <v>302.54</v>
      </c>
      <c r="AC243" s="12" t="n">
        <v>0</v>
      </c>
      <c r="AD243" s="12" t="n">
        <v>0</v>
      </c>
      <c r="AE243" s="13">
        <f>SUM(C243,E243,G243,I243,K243,M243,O243,Q243,S243,U243,W243,Y243,AA243,AC243)</f>
        <v/>
      </c>
      <c r="AF243" s="13">
        <f>SUM(D243,F243,H243,J243,L243,N243,P243,R243,T243,V243,X243,Z243,AB243,AD243)</f>
        <v/>
      </c>
      <c r="AG243" s="13">
        <f>AE243+AF243</f>
        <v/>
      </c>
    </row>
    <row r="244">
      <c r="A244" s="5" t="n">
        <v>239</v>
      </c>
      <c r="B244" s="27" t="inlineStr">
        <is>
          <t>Fevzipaşa</t>
        </is>
      </c>
      <c r="C244" s="7" t="n">
        <v>201.4</v>
      </c>
      <c r="D244" s="7" t="n">
        <v>2195.24</v>
      </c>
      <c r="E244" s="7" t="n">
        <v>314.2</v>
      </c>
      <c r="F244" s="7" t="n">
        <v>548.201</v>
      </c>
      <c r="G244" s="7" t="n">
        <v>2419</v>
      </c>
      <c r="H244" s="7" t="n">
        <v>6547.974</v>
      </c>
      <c r="I244" s="7" t="n">
        <v>1365</v>
      </c>
      <c r="J244" s="7" t="n">
        <v>7024.6</v>
      </c>
      <c r="K244" s="7" t="n">
        <v>17449.815</v>
      </c>
      <c r="L244" s="7" t="n">
        <v>6756.79</v>
      </c>
      <c r="M244" s="7" t="n">
        <v>2439.25</v>
      </c>
      <c r="N244" s="7" t="n">
        <v>6194.16</v>
      </c>
      <c r="O244" s="7" t="n">
        <v>1067.985</v>
      </c>
      <c r="P244" s="7" t="n">
        <v>2034.31</v>
      </c>
      <c r="Q244" s="7" t="n">
        <v>3049.38</v>
      </c>
      <c r="R244" s="7" t="n">
        <v>2382.615</v>
      </c>
      <c r="S244" s="7" t="n">
        <v>3948.97</v>
      </c>
      <c r="T244" s="7" t="n">
        <v>1368.785</v>
      </c>
      <c r="U244" s="7" t="n">
        <v>4957.53</v>
      </c>
      <c r="V244" s="7" t="n">
        <v>6899.77</v>
      </c>
      <c r="W244" s="7" t="n">
        <v>1816.05</v>
      </c>
      <c r="X244" s="7" t="n">
        <v>563.545</v>
      </c>
      <c r="Y244" s="7" t="n"/>
      <c r="Z244" s="7" t="n"/>
      <c r="AA244" s="7" t="n"/>
      <c r="AB244" s="7" t="n">
        <v>99.48</v>
      </c>
      <c r="AC244" s="7" t="n"/>
      <c r="AD244" s="7" t="n"/>
      <c r="AE244" s="8">
        <f>SUM(C244,E244,G244,I244,K244,M244,O244,Q244,S244,U244,W244,Y244,AA244,AC244)</f>
        <v/>
      </c>
      <c r="AF244" s="8">
        <f>SUM(D244,F244,H244,J244,L244,N244,P244,R244,T244,V244,X244,Z244,AB244,AD244)</f>
        <v/>
      </c>
      <c r="AG244" s="8">
        <f>AE244+AF244</f>
        <v/>
      </c>
    </row>
    <row r="245">
      <c r="A245" s="10" t="n">
        <v>240</v>
      </c>
      <c r="B245" s="28" t="inlineStr">
        <is>
          <t>Yıldırımkemal</t>
        </is>
      </c>
      <c r="C245" s="12" t="n"/>
      <c r="D245" s="12" t="n">
        <v>161</v>
      </c>
      <c r="E245" s="12" t="n"/>
      <c r="F245" s="12" t="n"/>
      <c r="G245" s="12" t="n">
        <v>6500</v>
      </c>
      <c r="H245" s="12" t="n">
        <v>55225</v>
      </c>
      <c r="I245" s="12" t="n"/>
      <c r="J245" s="12" t="n">
        <v>13575</v>
      </c>
      <c r="K245" s="12" t="n"/>
      <c r="L245" s="12" t="n">
        <v>850.22</v>
      </c>
      <c r="M245" s="12" t="n"/>
      <c r="N245" s="12" t="n">
        <v>496</v>
      </c>
      <c r="O245" s="12" t="n"/>
      <c r="P245" s="12" t="n">
        <v>2603</v>
      </c>
      <c r="Q245" s="12" t="n"/>
      <c r="R245" s="12" t="n">
        <v>27</v>
      </c>
      <c r="S245" s="12" t="n">
        <v>130</v>
      </c>
      <c r="T245" s="12" t="n"/>
      <c r="U245" s="12" t="n">
        <v>10</v>
      </c>
      <c r="V245" s="12" t="n">
        <v>113.2</v>
      </c>
      <c r="W245" s="12" t="n"/>
      <c r="X245" s="12" t="n">
        <v>24</v>
      </c>
      <c r="Y245" s="12" t="n"/>
      <c r="Z245" s="12" t="n"/>
      <c r="AA245" s="12" t="n"/>
      <c r="AB245" s="12" t="n"/>
      <c r="AC245" s="12" t="n"/>
      <c r="AD245" s="12" t="n"/>
      <c r="AE245" s="13">
        <f>SUM(C245,E245,G245,I245,K245,M245,O245,Q245,S245,U245,W245,Y245,AA245,AC245)</f>
        <v/>
      </c>
      <c r="AF245" s="13">
        <f>SUM(D245,F245,H245,J245,L245,N245,P245,R245,T245,V245,X245,Z245,AB245,AD245)</f>
        <v/>
      </c>
      <c r="AG245" s="13">
        <f>AE245+AF245</f>
        <v/>
      </c>
    </row>
    <row r="246">
      <c r="A246" s="5" t="n">
        <v>241</v>
      </c>
      <c r="B246" s="27" t="inlineStr">
        <is>
          <t>Yeşilyenice</t>
        </is>
      </c>
      <c r="C246" s="7" t="n">
        <v>11210</v>
      </c>
      <c r="D246" s="7" t="n">
        <v>64844.7</v>
      </c>
      <c r="E246" s="7" t="n"/>
      <c r="F246" s="7" t="n"/>
      <c r="G246" s="7" t="n"/>
      <c r="H246" s="7" t="n"/>
      <c r="I246" s="7" t="n"/>
      <c r="J246" s="7" t="n"/>
      <c r="K246" s="7" t="n"/>
      <c r="L246" s="7" t="n"/>
      <c r="M246" s="7" t="n"/>
      <c r="N246" s="7" t="n"/>
      <c r="O246" s="7" t="n"/>
      <c r="P246" s="7" t="n">
        <v>1991.388</v>
      </c>
      <c r="Q246" s="7" t="n"/>
      <c r="R246" s="7" t="n">
        <v>158</v>
      </c>
      <c r="S246" s="7" t="n"/>
      <c r="T246" s="7" t="n"/>
      <c r="U246" s="7" t="n"/>
      <c r="V246" s="7" t="n"/>
      <c r="W246" s="7" t="n"/>
      <c r="X246" s="7" t="n">
        <v>201.8</v>
      </c>
      <c r="Y246" s="7" t="n"/>
      <c r="Z246" s="7" t="n">
        <v>150</v>
      </c>
      <c r="AA246" s="7" t="n"/>
      <c r="AB246" s="7" t="n"/>
      <c r="AC246" s="7" t="n"/>
      <c r="AD246" s="7" t="n"/>
      <c r="AE246" s="8">
        <f>SUM(C246,E246,G246,I246,K246,M246,O246,Q246,S246,U246,W246,Y246,AA246,AC246)</f>
        <v/>
      </c>
      <c r="AF246" s="8">
        <f>SUM(D246,F246,H246,J246,L246,N246,P246,R246,T246,V246,X246,Z246,AB246,AD246)</f>
        <v/>
      </c>
      <c r="AG246" s="8">
        <f>AE246+AF246</f>
        <v/>
      </c>
    </row>
    <row r="247">
      <c r="A247" s="10" t="n">
        <v>242</v>
      </c>
      <c r="B247" s="28" t="inlineStr">
        <is>
          <t>Gebze</t>
        </is>
      </c>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v>67390.05</v>
      </c>
      <c r="W247" s="12" t="n">
        <v>293.405</v>
      </c>
      <c r="X247" s="12" t="n">
        <v>7571.215</v>
      </c>
      <c r="Y247" s="12" t="n">
        <v>312.79</v>
      </c>
      <c r="Z247" s="12" t="n">
        <v>376.55</v>
      </c>
      <c r="AA247" s="12" t="n">
        <v>363.85</v>
      </c>
      <c r="AB247" s="12" t="n">
        <v>854.655</v>
      </c>
      <c r="AC247" s="12" t="n">
        <v>269.99</v>
      </c>
      <c r="AD247" s="12" t="n">
        <v>247.75</v>
      </c>
      <c r="AE247" s="13">
        <f>SUM(C247,E247,G247,I247,K247,M247,O247,Q247,S247,U247,W247,Y247,AA247,AC247)</f>
        <v/>
      </c>
      <c r="AF247" s="13">
        <f>SUM(D247,F247,H247,J247,L247,N247,P247,R247,T247,V247,X247,Z247,AB247,AD247)</f>
        <v/>
      </c>
      <c r="AG247" s="13">
        <f>AE247+AF247</f>
        <v/>
      </c>
    </row>
    <row r="248">
      <c r="A248" s="5" t="n">
        <v>243</v>
      </c>
      <c r="B248" s="27" t="inlineStr">
        <is>
          <t>Nizip</t>
        </is>
      </c>
      <c r="C248" s="7" t="n">
        <v>30</v>
      </c>
      <c r="D248" s="7" t="n">
        <v>14364.8</v>
      </c>
      <c r="E248" s="7" t="n">
        <v>522.3</v>
      </c>
      <c r="F248" s="7" t="n">
        <v>8795.450000000001</v>
      </c>
      <c r="G248" s="7" t="n"/>
      <c r="H248" s="7" t="n">
        <v>8692.809999999999</v>
      </c>
      <c r="I248" s="7" t="n">
        <v>2520.49</v>
      </c>
      <c r="J248" s="7" t="n">
        <v>21776.38</v>
      </c>
      <c r="K248" s="7" t="n">
        <v>672.38</v>
      </c>
      <c r="L248" s="7" t="n">
        <v>9240</v>
      </c>
      <c r="M248" s="7" t="n"/>
      <c r="N248" s="7" t="n"/>
      <c r="O248" s="7" t="n"/>
      <c r="P248" s="7" t="n"/>
      <c r="Q248" s="7" t="n"/>
      <c r="R248" s="7" t="n"/>
      <c r="S248" s="7" t="n"/>
      <c r="T248" s="7" t="n"/>
      <c r="U248" s="7" t="n">
        <v>5950</v>
      </c>
      <c r="V248" s="7" t="n">
        <v>3254.45</v>
      </c>
      <c r="W248" s="7" t="n"/>
      <c r="X248" s="7" t="n"/>
      <c r="Y248" s="7" t="n"/>
      <c r="Z248" s="7" t="n"/>
      <c r="AA248" s="7" t="n"/>
      <c r="AB248" s="7" t="n"/>
      <c r="AC248" s="7" t="n"/>
      <c r="AD248" s="7" t="n"/>
      <c r="AE248" s="8">
        <f>SUM(C248,E248,G248,I248,K248,M248,O248,Q248,S248,U248,W248,Y248,AA248,AC248)</f>
        <v/>
      </c>
      <c r="AF248" s="8">
        <f>SUM(D248,F248,H248,J248,L248,N248,P248,R248,T248,V248,X248,Z248,AB248,AD248)</f>
        <v/>
      </c>
      <c r="AG248" s="8">
        <f>AE248+AF248</f>
        <v/>
      </c>
    </row>
    <row r="249">
      <c r="A249" s="10" t="n">
        <v>244</v>
      </c>
      <c r="B249" s="28" t="inlineStr">
        <is>
          <t>Denizli</t>
        </is>
      </c>
      <c r="C249" s="12" t="n">
        <v>2673.59</v>
      </c>
      <c r="D249" s="12" t="n">
        <v>4128.945</v>
      </c>
      <c r="E249" s="12" t="n">
        <v>5319.062</v>
      </c>
      <c r="F249" s="12" t="n">
        <v>3958.133</v>
      </c>
      <c r="G249" s="12" t="n">
        <v>2413.34</v>
      </c>
      <c r="H249" s="12" t="n">
        <v>2936.737</v>
      </c>
      <c r="I249" s="12" t="n">
        <v>2220.205</v>
      </c>
      <c r="J249" s="12" t="n">
        <v>6411.442</v>
      </c>
      <c r="K249" s="12" t="n">
        <v>1437.125</v>
      </c>
      <c r="L249" s="12" t="n">
        <v>3570.533</v>
      </c>
      <c r="M249" s="12" t="n">
        <v>1882.15</v>
      </c>
      <c r="N249" s="12" t="n">
        <v>3724.425</v>
      </c>
      <c r="O249" s="12" t="n">
        <v>1176.955</v>
      </c>
      <c r="P249" s="12" t="n">
        <v>3284.998</v>
      </c>
      <c r="Q249" s="12" t="n">
        <v>689.2</v>
      </c>
      <c r="R249" s="12" t="n">
        <v>1609.356</v>
      </c>
      <c r="S249" s="12" t="n">
        <v>622.45</v>
      </c>
      <c r="T249" s="12" t="n">
        <v>2504.38</v>
      </c>
      <c r="U249" s="12" t="n">
        <v>1746.395</v>
      </c>
      <c r="V249" s="12" t="n">
        <v>3187.992</v>
      </c>
      <c r="W249" s="12" t="n">
        <v>2512.475</v>
      </c>
      <c r="X249" s="12" t="n">
        <v>2998.618</v>
      </c>
      <c r="Y249" s="12" t="n">
        <v>2491.5</v>
      </c>
      <c r="Z249" s="12" t="n">
        <v>3934.855</v>
      </c>
      <c r="AA249" s="12" t="n">
        <v>1496.616</v>
      </c>
      <c r="AB249" s="12" t="n">
        <v>3414.084</v>
      </c>
      <c r="AC249" s="12" t="n">
        <v>1072.795</v>
      </c>
      <c r="AD249" s="12" t="n">
        <v>2230.62</v>
      </c>
      <c r="AE249" s="13">
        <f>SUM(C249,E249,G249,I249,K249,M249,O249,Q249,S249,U249,W249,Y249,AA249,AC249)</f>
        <v/>
      </c>
      <c r="AF249" s="13">
        <f>SUM(D249,F249,H249,J249,L249,N249,P249,R249,T249,V249,X249,Z249,AB249,AD249)</f>
        <v/>
      </c>
      <c r="AG249" s="13">
        <f>AE249+AF249</f>
        <v/>
      </c>
    </row>
    <row r="250">
      <c r="A250" s="5" t="n">
        <v>245</v>
      </c>
      <c r="B250" s="27" t="inlineStr">
        <is>
          <t>Çerkeş</t>
        </is>
      </c>
      <c r="C250" s="7" t="n">
        <v>15464.49</v>
      </c>
      <c r="D250" s="7" t="n">
        <v>1537.835</v>
      </c>
      <c r="E250" s="7" t="n">
        <v>37044.985</v>
      </c>
      <c r="F250" s="7" t="n">
        <v>11531.2</v>
      </c>
      <c r="G250" s="7" t="n"/>
      <c r="H250" s="7" t="n">
        <v>882.48</v>
      </c>
      <c r="I250" s="7" t="n">
        <v>803.95</v>
      </c>
      <c r="J250" s="7" t="n">
        <v>400</v>
      </c>
      <c r="K250" s="7" t="n">
        <v>20</v>
      </c>
      <c r="L250" s="7" t="n">
        <v>1386.245</v>
      </c>
      <c r="M250" s="7" t="n">
        <v>129.3</v>
      </c>
      <c r="N250" s="7" t="n">
        <v>2185.4</v>
      </c>
      <c r="O250" s="7" t="n"/>
      <c r="P250" s="7" t="n"/>
      <c r="Q250" s="7" t="n"/>
      <c r="R250" s="7" t="n">
        <v>1695</v>
      </c>
      <c r="S250" s="7" t="n"/>
      <c r="T250" s="7" t="n">
        <v>59.65</v>
      </c>
      <c r="U250" s="7" t="n"/>
      <c r="V250" s="7" t="n">
        <v>1173</v>
      </c>
      <c r="W250" s="7" t="n"/>
      <c r="X250" s="7" t="n">
        <v>228.1</v>
      </c>
      <c r="Y250" s="7" t="n"/>
      <c r="Z250" s="7" t="n">
        <v>34.74</v>
      </c>
      <c r="AA250" s="7" t="n"/>
      <c r="AB250" s="7" t="n">
        <v>34.74</v>
      </c>
      <c r="AC250" s="7" t="n"/>
      <c r="AD250" s="7" t="n"/>
      <c r="AE250" s="8">
        <f>SUM(C250,E250,G250,I250,K250,M250,O250,Q250,S250,U250,W250,Y250,AA250,AC250)</f>
        <v/>
      </c>
      <c r="AF250" s="8">
        <f>SUM(D250,F250,H250,J250,L250,N250,P250,R250,T250,V250,X250,Z250,AB250,AD250)</f>
        <v/>
      </c>
      <c r="AG250" s="8">
        <f>AE250+AF250</f>
        <v/>
      </c>
    </row>
    <row r="251">
      <c r="A251" s="10" t="n">
        <v>246</v>
      </c>
      <c r="B251" s="28" t="inlineStr">
        <is>
          <t>Şefaatli</t>
        </is>
      </c>
      <c r="C251" s="12" t="n">
        <v>2433.785</v>
      </c>
      <c r="D251" s="12" t="n">
        <v>1218</v>
      </c>
      <c r="E251" s="12" t="n">
        <v>290</v>
      </c>
      <c r="F251" s="12" t="n">
        <v>499</v>
      </c>
      <c r="G251" s="12" t="n">
        <v>270</v>
      </c>
      <c r="H251" s="12" t="n">
        <v>564</v>
      </c>
      <c r="I251" s="12" t="n">
        <v>534</v>
      </c>
      <c r="J251" s="12" t="n">
        <v>808.3</v>
      </c>
      <c r="K251" s="12" t="n">
        <v>417.4</v>
      </c>
      <c r="L251" s="12" t="n">
        <v>1253.82</v>
      </c>
      <c r="M251" s="12" t="n"/>
      <c r="N251" s="12" t="n">
        <v>735.9</v>
      </c>
      <c r="O251" s="12" t="n"/>
      <c r="P251" s="12" t="n">
        <v>430.875</v>
      </c>
      <c r="Q251" s="12" t="n"/>
      <c r="R251" s="12" t="n">
        <v>132.74</v>
      </c>
      <c r="S251" s="12" t="n">
        <v>8</v>
      </c>
      <c r="T251" s="12" t="n">
        <v>181.2</v>
      </c>
      <c r="U251" s="12" t="n"/>
      <c r="V251" s="12" t="n"/>
      <c r="W251" s="12" t="n"/>
      <c r="X251" s="12" t="n">
        <v>411.69</v>
      </c>
      <c r="Y251" s="12" t="n">
        <v>60086.5</v>
      </c>
      <c r="Z251" s="12" t="n">
        <v>293.9</v>
      </c>
      <c r="AA251" s="12" t="n">
        <v>600</v>
      </c>
      <c r="AB251" s="12" t="n">
        <v>1374</v>
      </c>
      <c r="AC251" s="12" t="n">
        <v>892</v>
      </c>
      <c r="AD251" s="12" t="n">
        <v>1165</v>
      </c>
      <c r="AE251" s="13">
        <f>SUM(C251,E251,G251,I251,K251,M251,O251,Q251,S251,U251,W251,Y251,AA251,AC251)</f>
        <v/>
      </c>
      <c r="AF251" s="13">
        <f>SUM(D251,F251,H251,J251,L251,N251,P251,R251,T251,V251,X251,Z251,AB251,AD251)</f>
        <v/>
      </c>
      <c r="AG251" s="13">
        <f>AE251+AF251</f>
        <v/>
      </c>
    </row>
    <row r="252">
      <c r="A252" s="5" t="n">
        <v>247</v>
      </c>
      <c r="B252" s="27" t="inlineStr">
        <is>
          <t>Mercan</t>
        </is>
      </c>
      <c r="C252" s="7" t="n">
        <v>466</v>
      </c>
      <c r="D252" s="7" t="n">
        <v>1779</v>
      </c>
      <c r="E252" s="7" t="n">
        <v>324</v>
      </c>
      <c r="F252" s="7" t="n">
        <v>38864</v>
      </c>
      <c r="G252" s="7" t="n">
        <v>1834.19</v>
      </c>
      <c r="H252" s="7" t="n">
        <v>7956.5</v>
      </c>
      <c r="I252" s="7" t="n">
        <v>984.75</v>
      </c>
      <c r="J252" s="7" t="n">
        <v>6616.15</v>
      </c>
      <c r="K252" s="7" t="n">
        <v>1425.365</v>
      </c>
      <c r="L252" s="7" t="n">
        <v>3586.4</v>
      </c>
      <c r="M252" s="7" t="n">
        <v>190.24</v>
      </c>
      <c r="N252" s="7" t="n">
        <v>3257</v>
      </c>
      <c r="O252" s="7" t="n">
        <v>72</v>
      </c>
      <c r="P252" s="7" t="n">
        <v>1150</v>
      </c>
      <c r="Q252" s="7" t="n"/>
      <c r="R252" s="7" t="n">
        <v>1100</v>
      </c>
      <c r="S252" s="7" t="n"/>
      <c r="T252" s="7" t="n">
        <v>1250</v>
      </c>
      <c r="U252" s="7" t="n"/>
      <c r="V252" s="7" t="n">
        <v>30</v>
      </c>
      <c r="W252" s="7" t="n"/>
      <c r="X252" s="7" t="n">
        <v>1512</v>
      </c>
      <c r="Y252" s="7" t="n"/>
      <c r="Z252" s="7" t="n">
        <v>1025</v>
      </c>
      <c r="AA252" s="7" t="n"/>
      <c r="AB252" s="7" t="n">
        <v>90.8</v>
      </c>
      <c r="AC252" s="7" t="n"/>
      <c r="AD252" s="7" t="n"/>
      <c r="AE252" s="8">
        <f>SUM(C252,E252,G252,I252,K252,M252,O252,Q252,S252,U252,W252,Y252,AA252,AC252)</f>
        <v/>
      </c>
      <c r="AF252" s="8">
        <f>SUM(D252,F252,H252,J252,L252,N252,P252,R252,T252,V252,X252,Z252,AB252,AD252)</f>
        <v/>
      </c>
      <c r="AG252" s="8">
        <f>AE252+AF252</f>
        <v/>
      </c>
    </row>
    <row r="253">
      <c r="A253" s="10" t="n">
        <v>248</v>
      </c>
      <c r="B253" s="28" t="inlineStr">
        <is>
          <t>Selim</t>
        </is>
      </c>
      <c r="C253" s="12" t="n">
        <v>263.65</v>
      </c>
      <c r="D253" s="12" t="n">
        <v>31708</v>
      </c>
      <c r="E253" s="12" t="n"/>
      <c r="F253" s="12" t="n">
        <v>1035</v>
      </c>
      <c r="G253" s="12" t="n"/>
      <c r="H253" s="12" t="n">
        <v>8485</v>
      </c>
      <c r="I253" s="12" t="n"/>
      <c r="J253" s="12" t="n">
        <v>13344</v>
      </c>
      <c r="K253" s="12" t="n">
        <v>44</v>
      </c>
      <c r="L253" s="12" t="n">
        <v>4553.55</v>
      </c>
      <c r="M253" s="12" t="n">
        <v>440</v>
      </c>
      <c r="N253" s="12" t="n">
        <v>5502.4</v>
      </c>
      <c r="O253" s="12" t="n"/>
      <c r="P253" s="12" t="n">
        <v>3245</v>
      </c>
      <c r="Q253" s="12" t="n"/>
      <c r="R253" s="12" t="n">
        <v>2580</v>
      </c>
      <c r="S253" s="12" t="n"/>
      <c r="T253" s="12" t="n">
        <v>2210</v>
      </c>
      <c r="U253" s="12" t="n"/>
      <c r="V253" s="12" t="n"/>
      <c r="W253" s="12" t="n"/>
      <c r="X253" s="12" t="n"/>
      <c r="Y253" s="12" t="n"/>
      <c r="Z253" s="12" t="n"/>
      <c r="AA253" s="12" t="n">
        <v>2</v>
      </c>
      <c r="AB253" s="12" t="n">
        <v>21</v>
      </c>
      <c r="AC253" s="12" t="n"/>
      <c r="AD253" s="12" t="n"/>
      <c r="AE253" s="13">
        <f>SUM(C253,E253,G253,I253,K253,M253,O253,Q253,S253,U253,W253,Y253,AA253,AC253)</f>
        <v/>
      </c>
      <c r="AF253" s="13">
        <f>SUM(D253,F253,H253,J253,L253,N253,P253,R253,T253,V253,X253,Z253,AB253,AD253)</f>
        <v/>
      </c>
      <c r="AG253" s="13">
        <f>AE253+AF253</f>
        <v/>
      </c>
    </row>
    <row r="254">
      <c r="A254" s="5" t="n">
        <v>249</v>
      </c>
      <c r="B254" s="27" t="inlineStr">
        <is>
          <t>Kayabaşı</t>
        </is>
      </c>
      <c r="C254" s="7" t="n">
        <v>250</v>
      </c>
      <c r="D254" s="7" t="n">
        <v>80</v>
      </c>
      <c r="E254" s="7" t="n">
        <v>23714.931</v>
      </c>
      <c r="F254" s="7" t="n">
        <v>5941.545</v>
      </c>
      <c r="G254" s="7" t="n">
        <v>21680.737</v>
      </c>
      <c r="H254" s="7" t="n">
        <v>5925.95</v>
      </c>
      <c r="I254" s="7" t="n"/>
      <c r="J254" s="7" t="n"/>
      <c r="K254" s="7" t="n"/>
      <c r="L254" s="7" t="n"/>
      <c r="M254" s="7" t="n"/>
      <c r="N254" s="7" t="n"/>
      <c r="O254" s="7" t="n"/>
      <c r="P254" s="7" t="n"/>
      <c r="Q254" s="7" t="n"/>
      <c r="R254" s="7" t="n"/>
      <c r="S254" s="7" t="n">
        <v>14443.2</v>
      </c>
      <c r="T254" s="7" t="n">
        <v>81</v>
      </c>
      <c r="U254" s="7" t="n"/>
      <c r="V254" s="7" t="n">
        <v>159</v>
      </c>
      <c r="W254" s="7" t="n">
        <v>95.749</v>
      </c>
      <c r="X254" s="7" t="n">
        <v>85.20999999999999</v>
      </c>
      <c r="Y254" s="7" t="n">
        <v>100.9</v>
      </c>
      <c r="Z254" s="7" t="n">
        <v>127</v>
      </c>
      <c r="AA254" s="7" t="n">
        <v>39</v>
      </c>
      <c r="AB254" s="7" t="n">
        <v>76.45</v>
      </c>
      <c r="AC254" s="7" t="n">
        <v>32</v>
      </c>
      <c r="AD254" s="7" t="n">
        <v>0</v>
      </c>
      <c r="AE254" s="8">
        <f>SUM(C254,E254,G254,I254,K254,M254,O254,Q254,S254,U254,W254,Y254,AA254,AC254)</f>
        <v/>
      </c>
      <c r="AF254" s="8">
        <f>SUM(D254,F254,H254,J254,L254,N254,P254,R254,T254,V254,X254,Z254,AB254,AD254)</f>
        <v/>
      </c>
      <c r="AG254" s="8">
        <f>AE254+AF254</f>
        <v/>
      </c>
    </row>
    <row r="255">
      <c r="A255" s="10" t="n">
        <v>250</v>
      </c>
      <c r="B255" s="28" t="inlineStr">
        <is>
          <t>Ayrancı</t>
        </is>
      </c>
      <c r="C255" s="12" t="n">
        <v>4728.4</v>
      </c>
      <c r="D255" s="12" t="n">
        <v>5514</v>
      </c>
      <c r="E255" s="12" t="n"/>
      <c r="F255" s="12" t="n">
        <v>19775</v>
      </c>
      <c r="G255" s="12" t="n"/>
      <c r="H255" s="12" t="n">
        <v>1400</v>
      </c>
      <c r="I255" s="12" t="n"/>
      <c r="J255" s="12" t="n"/>
      <c r="K255" s="12" t="n"/>
      <c r="L255" s="12" t="n">
        <v>545</v>
      </c>
      <c r="M255" s="12" t="n">
        <v>780.9400000000001</v>
      </c>
      <c r="N255" s="12" t="n">
        <v>449.49</v>
      </c>
      <c r="O255" s="12" t="n">
        <v>4102.155</v>
      </c>
      <c r="P255" s="12" t="n">
        <v>6847.671</v>
      </c>
      <c r="Q255" s="12" t="n">
        <v>2221.155</v>
      </c>
      <c r="R255" s="12" t="n">
        <v>3760.96</v>
      </c>
      <c r="S255" s="12" t="n">
        <v>1030.14</v>
      </c>
      <c r="T255" s="12" t="n">
        <v>1967.465</v>
      </c>
      <c r="U255" s="12" t="n">
        <v>1400</v>
      </c>
      <c r="V255" s="12" t="n">
        <v>52.25</v>
      </c>
      <c r="W255" s="12" t="n">
        <v>4133</v>
      </c>
      <c r="X255" s="12" t="n">
        <v>12946.235</v>
      </c>
      <c r="Y255" s="12" t="n">
        <v>105.1</v>
      </c>
      <c r="Z255" s="12" t="n">
        <v>663</v>
      </c>
      <c r="AA255" s="12" t="n"/>
      <c r="AB255" s="12" t="n"/>
      <c r="AC255" s="12" t="n"/>
      <c r="AD255" s="12" t="n"/>
      <c r="AE255" s="13">
        <f>SUM(C255,E255,G255,I255,K255,M255,O255,Q255,S255,U255,W255,Y255,AA255,AC255)</f>
        <v/>
      </c>
      <c r="AF255" s="13">
        <f>SUM(D255,F255,H255,J255,L255,N255,P255,R255,T255,V255,X255,Z255,AB255,AD255)</f>
        <v/>
      </c>
      <c r="AG255" s="13">
        <f>AE255+AF255</f>
        <v/>
      </c>
    </row>
    <row r="256">
      <c r="A256" s="5" t="n">
        <v>251</v>
      </c>
      <c r="B256" s="27" t="inlineStr">
        <is>
          <t>Fırat</t>
        </is>
      </c>
      <c r="C256" s="7" t="n">
        <v>2056.02</v>
      </c>
      <c r="D256" s="7" t="n">
        <v>13368.09</v>
      </c>
      <c r="E256" s="7" t="n">
        <v>10710.05</v>
      </c>
      <c r="F256" s="7" t="n">
        <v>15872.3</v>
      </c>
      <c r="G256" s="7" t="n">
        <v>618.8</v>
      </c>
      <c r="H256" s="7" t="n">
        <v>11628.344</v>
      </c>
      <c r="I256" s="7" t="n"/>
      <c r="J256" s="7" t="n">
        <v>2257.3</v>
      </c>
      <c r="K256" s="7" t="n">
        <v>78.5</v>
      </c>
      <c r="L256" s="7" t="n">
        <v>6040</v>
      </c>
      <c r="M256" s="7" t="n">
        <v>292.05</v>
      </c>
      <c r="N256" s="7" t="n">
        <v>7906.76</v>
      </c>
      <c r="O256" s="7" t="n"/>
      <c r="P256" s="7" t="n">
        <v>261</v>
      </c>
      <c r="Q256" s="7" t="n">
        <v>530</v>
      </c>
      <c r="R256" s="7" t="n"/>
      <c r="S256" s="7" t="n"/>
      <c r="T256" s="7" t="n"/>
      <c r="U256" s="7" t="n"/>
      <c r="V256" s="7" t="n"/>
      <c r="W256" s="7" t="n"/>
      <c r="X256" s="7" t="n"/>
      <c r="Y256" s="7" t="n"/>
      <c r="Z256" s="7" t="n"/>
      <c r="AA256" s="7" t="n"/>
      <c r="AB256" s="7" t="n"/>
      <c r="AC256" s="7" t="n"/>
      <c r="AD256" s="7" t="n"/>
      <c r="AE256" s="8">
        <f>SUM(C256,E256,G256,I256,K256,M256,O256,Q256,S256,U256,W256,Y256,AA256,AC256)</f>
        <v/>
      </c>
      <c r="AF256" s="8">
        <f>SUM(D256,F256,H256,J256,L256,N256,P256,R256,T256,V256,X256,Z256,AB256,AD256)</f>
        <v/>
      </c>
      <c r="AG256" s="8">
        <f>AE256+AF256</f>
        <v/>
      </c>
    </row>
    <row r="257">
      <c r="A257" s="10" t="n">
        <v>252</v>
      </c>
      <c r="B257" s="28" t="inlineStr">
        <is>
          <t>Temelli</t>
        </is>
      </c>
      <c r="C257" s="12" t="n">
        <v>1754.79</v>
      </c>
      <c r="D257" s="12" t="n">
        <v>458.25</v>
      </c>
      <c r="E257" s="12" t="n">
        <v>1662.39</v>
      </c>
      <c r="F257" s="12" t="n">
        <v>3244.75</v>
      </c>
      <c r="G257" s="12" t="n">
        <v>4697.83</v>
      </c>
      <c r="H257" s="12" t="n">
        <v>1977.76</v>
      </c>
      <c r="I257" s="12" t="n">
        <v>1270.86</v>
      </c>
      <c r="J257" s="12" t="n">
        <v>1019.65</v>
      </c>
      <c r="K257" s="12" t="n">
        <v>3845.06</v>
      </c>
      <c r="L257" s="12" t="n">
        <v>4502.72</v>
      </c>
      <c r="M257" s="12" t="n">
        <v>3071.89</v>
      </c>
      <c r="N257" s="12" t="n">
        <v>1583.39</v>
      </c>
      <c r="O257" s="12" t="n">
        <v>855.965</v>
      </c>
      <c r="P257" s="12" t="n">
        <v>1179.615</v>
      </c>
      <c r="Q257" s="12" t="n">
        <v>830.39</v>
      </c>
      <c r="R257" s="12" t="n">
        <v>696.535</v>
      </c>
      <c r="S257" s="12" t="n">
        <v>2368.91</v>
      </c>
      <c r="T257" s="12" t="n">
        <v>334.1</v>
      </c>
      <c r="U257" s="12" t="n">
        <v>6950.56</v>
      </c>
      <c r="V257" s="12" t="n">
        <v>105.6</v>
      </c>
      <c r="W257" s="12" t="n">
        <v>8070</v>
      </c>
      <c r="X257" s="12" t="n"/>
      <c r="Y257" s="12" t="n">
        <v>12729.2</v>
      </c>
      <c r="Z257" s="12" t="n">
        <v>184</v>
      </c>
      <c r="AA257" s="12" t="n">
        <v>3948</v>
      </c>
      <c r="AB257" s="12" t="n"/>
      <c r="AC257" s="12" t="n">
        <v>4259.2</v>
      </c>
      <c r="AD257" s="12" t="n"/>
      <c r="AE257" s="13">
        <f>SUM(C257,E257,G257,I257,K257,M257,O257,Q257,S257,U257,W257,Y257,AA257,AC257)</f>
        <v/>
      </c>
      <c r="AF257" s="13">
        <f>SUM(D257,F257,H257,J257,L257,N257,P257,R257,T257,V257,X257,Z257,AB257,AD257)</f>
        <v/>
      </c>
      <c r="AG257" s="13">
        <f>AE257+AF257</f>
        <v/>
      </c>
    </row>
    <row r="258">
      <c r="A258" s="5" t="n">
        <v>253</v>
      </c>
      <c r="B258" s="27" t="inlineStr">
        <is>
          <t>Palu</t>
        </is>
      </c>
      <c r="C258" s="7" t="n">
        <v>25</v>
      </c>
      <c r="D258" s="7" t="n">
        <v>1956.3</v>
      </c>
      <c r="E258" s="7" t="n"/>
      <c r="F258" s="7" t="n">
        <v>3500</v>
      </c>
      <c r="G258" s="7" t="n"/>
      <c r="H258" s="7" t="n">
        <v>2598</v>
      </c>
      <c r="I258" s="7" t="n"/>
      <c r="J258" s="7" t="n">
        <v>5206.9</v>
      </c>
      <c r="K258" s="7" t="n">
        <v>23.085</v>
      </c>
      <c r="L258" s="7" t="n">
        <v>1607.085</v>
      </c>
      <c r="M258" s="7" t="n">
        <v>13822.335</v>
      </c>
      <c r="N258" s="7" t="n">
        <v>32821.175</v>
      </c>
      <c r="O258" s="7" t="n">
        <v>1088</v>
      </c>
      <c r="P258" s="7" t="n">
        <v>3626.91</v>
      </c>
      <c r="Q258" s="7" t="n">
        <v>311.595</v>
      </c>
      <c r="R258" s="7" t="n">
        <v>2006.31</v>
      </c>
      <c r="S258" s="7" t="n">
        <v>982.61</v>
      </c>
      <c r="T258" s="7" t="n">
        <v>1531.44</v>
      </c>
      <c r="U258" s="7" t="n"/>
      <c r="V258" s="7" t="n">
        <v>21.5</v>
      </c>
      <c r="W258" s="7" t="n"/>
      <c r="X258" s="7" t="n"/>
      <c r="Y258" s="7" t="n"/>
      <c r="Z258" s="7" t="n"/>
      <c r="AA258" s="7" t="n"/>
      <c r="AB258" s="7" t="n"/>
      <c r="AC258" s="7" t="n"/>
      <c r="AD258" s="7" t="n"/>
      <c r="AE258" s="8">
        <f>SUM(C258,E258,G258,I258,K258,M258,O258,Q258,S258,U258,W258,Y258,AA258,AC258)</f>
        <v/>
      </c>
      <c r="AF258" s="8">
        <f>SUM(D258,F258,H258,J258,L258,N258,P258,R258,T258,V258,X258,Z258,AB258,AD258)</f>
        <v/>
      </c>
      <c r="AG258" s="8">
        <f>AE258+AF258</f>
        <v/>
      </c>
    </row>
    <row r="259">
      <c r="A259" s="10" t="n">
        <v>254</v>
      </c>
      <c r="B259" s="28" t="inlineStr">
        <is>
          <t>Kapıdere</t>
        </is>
      </c>
      <c r="C259" s="12" t="n">
        <v>525</v>
      </c>
      <c r="D259" s="12" t="n">
        <v>52541.68</v>
      </c>
      <c r="E259" s="12" t="n">
        <v>6775</v>
      </c>
      <c r="F259" s="12" t="n">
        <v>5320</v>
      </c>
      <c r="G259" s="12" t="n"/>
      <c r="H259" s="12" t="n">
        <v>610</v>
      </c>
      <c r="I259" s="12" t="n"/>
      <c r="J259" s="12" t="n">
        <v>150</v>
      </c>
      <c r="K259" s="12" t="n"/>
      <c r="L259" s="12" t="n"/>
      <c r="M259" s="12" t="n">
        <v>1380.8</v>
      </c>
      <c r="N259" s="12" t="n"/>
      <c r="O259" s="12" t="n"/>
      <c r="P259" s="12" t="n"/>
      <c r="Q259" s="12" t="n"/>
      <c r="R259" s="12" t="n"/>
      <c r="S259" s="12" t="n">
        <v>199</v>
      </c>
      <c r="T259" s="12" t="n">
        <v>2410.4</v>
      </c>
      <c r="U259" s="12" t="n"/>
      <c r="V259" s="12" t="n">
        <v>0</v>
      </c>
      <c r="W259" s="12" t="n"/>
      <c r="X259" s="12" t="n"/>
      <c r="Y259" s="12" t="n"/>
      <c r="Z259" s="12" t="n"/>
      <c r="AA259" s="12" t="n"/>
      <c r="AB259" s="12" t="n"/>
      <c r="AC259" s="12" t="n"/>
      <c r="AD259" s="12" t="n"/>
      <c r="AE259" s="13">
        <f>SUM(C259,E259,G259,I259,K259,M259,O259,Q259,S259,U259,W259,Y259,AA259,AC259)</f>
        <v/>
      </c>
      <c r="AF259" s="13">
        <f>SUM(D259,F259,H259,J259,L259,N259,P259,R259,T259,V259,X259,Z259,AB259,AD259)</f>
        <v/>
      </c>
      <c r="AG259" s="13">
        <f>AE259+AF259</f>
        <v/>
      </c>
    </row>
    <row r="260">
      <c r="A260" s="5" t="n">
        <v>255</v>
      </c>
      <c r="B260" s="27" t="inlineStr">
        <is>
          <t>Torbalı</t>
        </is>
      </c>
      <c r="C260" s="7" t="n">
        <v>457.7</v>
      </c>
      <c r="D260" s="7" t="n">
        <v>5981.166</v>
      </c>
      <c r="E260" s="7" t="n">
        <v>42019</v>
      </c>
      <c r="F260" s="7" t="n">
        <v>16697</v>
      </c>
      <c r="G260" s="7" t="n"/>
      <c r="H260" s="7" t="n">
        <v>1001.418</v>
      </c>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c r="AC260" s="7" t="n"/>
      <c r="AD260" s="7" t="n"/>
      <c r="AE260" s="8">
        <f>SUM(C260,E260,G260,I260,K260,M260,O260,Q260,S260,U260,W260,Y260,AA260,AC260)</f>
        <v/>
      </c>
      <c r="AF260" s="8">
        <f>SUM(D260,F260,H260,J260,L260,N260,P260,R260,T260,V260,X260,Z260,AB260,AD260)</f>
        <v/>
      </c>
      <c r="AG260" s="8">
        <f>AE260+AF260</f>
        <v/>
      </c>
    </row>
    <row r="261">
      <c r="A261" s="10" t="n">
        <v>256</v>
      </c>
      <c r="B261" s="28" t="inlineStr">
        <is>
          <t>Akşehir</t>
        </is>
      </c>
      <c r="C261" s="12" t="n">
        <v>2960.6</v>
      </c>
      <c r="D261" s="12" t="n">
        <v>14727.755</v>
      </c>
      <c r="E261" s="12" t="n">
        <v>2933.33</v>
      </c>
      <c r="F261" s="12" t="n">
        <v>8116.84</v>
      </c>
      <c r="G261" s="12" t="n">
        <v>89.26000000000001</v>
      </c>
      <c r="H261" s="12" t="n">
        <v>948.0599999999999</v>
      </c>
      <c r="I261" s="12" t="n">
        <v>257.1</v>
      </c>
      <c r="J261" s="12" t="n">
        <v>1073.845</v>
      </c>
      <c r="K261" s="12" t="n">
        <v>13.5</v>
      </c>
      <c r="L261" s="12" t="n">
        <v>1936.45</v>
      </c>
      <c r="M261" s="12" t="n">
        <v>1677.71</v>
      </c>
      <c r="N261" s="12" t="n">
        <v>7896.2</v>
      </c>
      <c r="O261" s="12" t="n">
        <v>278.11</v>
      </c>
      <c r="P261" s="12" t="n">
        <v>10782.31</v>
      </c>
      <c r="Q261" s="12" t="n">
        <v>113.91</v>
      </c>
      <c r="R261" s="12" t="n">
        <v>4273</v>
      </c>
      <c r="S261" s="12" t="n">
        <v>132.3</v>
      </c>
      <c r="T261" s="12" t="n">
        <v>111.1</v>
      </c>
      <c r="U261" s="12" t="n"/>
      <c r="V261" s="12" t="n">
        <v>32.01</v>
      </c>
      <c r="W261" s="12" t="n">
        <v>373.02</v>
      </c>
      <c r="X261" s="12" t="n">
        <v>197.44</v>
      </c>
      <c r="Y261" s="12" t="n">
        <v>257.205</v>
      </c>
      <c r="Z261" s="12" t="n">
        <v>2140.06</v>
      </c>
      <c r="AA261" s="12" t="n">
        <v>0</v>
      </c>
      <c r="AB261" s="12" t="n">
        <v>34.74</v>
      </c>
      <c r="AC261" s="12" t="n">
        <v>1891</v>
      </c>
      <c r="AD261" s="12" t="n">
        <v>1854</v>
      </c>
      <c r="AE261" s="13">
        <f>SUM(C261,E261,G261,I261,K261,M261,O261,Q261,S261,U261,W261,Y261,AA261,AC261)</f>
        <v/>
      </c>
      <c r="AF261" s="13">
        <f>SUM(D261,F261,H261,J261,L261,N261,P261,R261,T261,V261,X261,Z261,AB261,AD261)</f>
        <v/>
      </c>
      <c r="AG261" s="13">
        <f>AE261+AF261</f>
        <v/>
      </c>
    </row>
    <row r="262">
      <c r="A262" s="5" t="n">
        <v>257</v>
      </c>
      <c r="B262" s="27" t="inlineStr">
        <is>
          <t>(Silinecek) Kale</t>
        </is>
      </c>
      <c r="C262" s="7" t="n"/>
      <c r="D262" s="7" t="n">
        <v>17.5</v>
      </c>
      <c r="E262" s="7" t="n"/>
      <c r="F262" s="7" t="n">
        <v>427.47</v>
      </c>
      <c r="G262" s="7" t="n"/>
      <c r="H262" s="7" t="n">
        <v>6450</v>
      </c>
      <c r="I262" s="7" t="n"/>
      <c r="J262" s="7" t="n">
        <v>7425</v>
      </c>
      <c r="K262" s="7" t="n"/>
      <c r="L262" s="7" t="n">
        <v>4604.5</v>
      </c>
      <c r="M262" s="7" t="n">
        <v>8789.785</v>
      </c>
      <c r="N262" s="7" t="n">
        <v>35892.215</v>
      </c>
      <c r="O262" s="7" t="n"/>
      <c r="P262" s="7" t="n"/>
      <c r="Q262" s="7" t="n"/>
      <c r="R262" s="7" t="n"/>
      <c r="S262" s="7" t="n"/>
      <c r="T262" s="7" t="n"/>
      <c r="U262" s="7" t="n"/>
      <c r="V262" s="7" t="n"/>
      <c r="W262" s="7" t="n"/>
      <c r="X262" s="7" t="n"/>
      <c r="Y262" s="7" t="n"/>
      <c r="Z262" s="7" t="n"/>
      <c r="AA262" s="7" t="n"/>
      <c r="AB262" s="7" t="n"/>
      <c r="AC262" s="7" t="n"/>
      <c r="AD262" s="7" t="n"/>
      <c r="AE262" s="8">
        <f>SUM(C262,E262,G262,I262,K262,M262,O262,Q262,S262,U262,W262,Y262,AA262,AC262)</f>
        <v/>
      </c>
      <c r="AF262" s="8">
        <f>SUM(D262,F262,H262,J262,L262,N262,P262,R262,T262,V262,X262,Z262,AB262,AD262)</f>
        <v/>
      </c>
      <c r="AG262" s="8">
        <f>AE262+AF262</f>
        <v/>
      </c>
    </row>
    <row r="263">
      <c r="A263" s="10" t="n">
        <v>258</v>
      </c>
      <c r="B263" s="28" t="inlineStr">
        <is>
          <t>Çadırkaya</t>
        </is>
      </c>
      <c r="C263" s="12" t="n"/>
      <c r="D263" s="12" t="n"/>
      <c r="E263" s="12" t="n"/>
      <c r="F263" s="12" t="n"/>
      <c r="G263" s="12" t="n">
        <v>324</v>
      </c>
      <c r="H263" s="12" t="n">
        <v>37916.266</v>
      </c>
      <c r="I263" s="12" t="n">
        <v>1961.91</v>
      </c>
      <c r="J263" s="12" t="n">
        <v>16578.694</v>
      </c>
      <c r="K263" s="12" t="n">
        <v>763</v>
      </c>
      <c r="L263" s="12" t="n">
        <v>1375</v>
      </c>
      <c r="M263" s="12" t="n">
        <v>227.14</v>
      </c>
      <c r="N263" s="12" t="n">
        <v>441.995</v>
      </c>
      <c r="O263" s="12" t="n"/>
      <c r="P263" s="12" t="n"/>
      <c r="Q263" s="12" t="n"/>
      <c r="R263" s="12" t="n">
        <v>45</v>
      </c>
      <c r="S263" s="12" t="n"/>
      <c r="T263" s="12" t="n"/>
      <c r="U263" s="12" t="n"/>
      <c r="V263" s="12" t="n"/>
      <c r="W263" s="12" t="n"/>
      <c r="X263" s="12" t="n"/>
      <c r="Y263" s="12" t="n"/>
      <c r="Z263" s="12" t="n"/>
      <c r="AA263" s="12" t="n">
        <v>36</v>
      </c>
      <c r="AB263" s="12" t="n">
        <v>134</v>
      </c>
      <c r="AC263" s="12" t="n"/>
      <c r="AD263" s="12" t="n"/>
      <c r="AE263" s="13">
        <f>SUM(C263,E263,G263,I263,K263,M263,O263,Q263,S263,U263,W263,Y263,AA263,AC263)</f>
        <v/>
      </c>
      <c r="AF263" s="13">
        <f>SUM(D263,F263,H263,J263,L263,N263,P263,R263,T263,V263,X263,Z263,AB263,AD263)</f>
        <v/>
      </c>
      <c r="AG263" s="13">
        <f>AE263+AF263</f>
        <v/>
      </c>
    </row>
    <row r="264">
      <c r="A264" s="5" t="n">
        <v>259</v>
      </c>
      <c r="B264" s="27" t="inlineStr">
        <is>
          <t>Sarayönü</t>
        </is>
      </c>
      <c r="C264" s="7" t="n">
        <v>120</v>
      </c>
      <c r="D264" s="7" t="n">
        <v>220</v>
      </c>
      <c r="E264" s="7" t="n">
        <v>82</v>
      </c>
      <c r="F264" s="7" t="n">
        <v>250</v>
      </c>
      <c r="G264" s="7" t="n">
        <v>36</v>
      </c>
      <c r="H264" s="7" t="n">
        <v>163</v>
      </c>
      <c r="I264" s="7" t="n">
        <v>92</v>
      </c>
      <c r="J264" s="7" t="n">
        <v>3473.22</v>
      </c>
      <c r="K264" s="7" t="n">
        <v>6940.24</v>
      </c>
      <c r="L264" s="7" t="n">
        <v>15020.21</v>
      </c>
      <c r="M264" s="7" t="n">
        <v>80</v>
      </c>
      <c r="N264" s="7" t="n">
        <v>22568.9</v>
      </c>
      <c r="O264" s="7" t="n"/>
      <c r="P264" s="7" t="n">
        <v>6153.01</v>
      </c>
      <c r="Q264" s="7" t="n">
        <v>109.005</v>
      </c>
      <c r="R264" s="7" t="n">
        <v>10</v>
      </c>
      <c r="S264" s="7" t="n">
        <v>58</v>
      </c>
      <c r="T264" s="7" t="n">
        <v>41</v>
      </c>
      <c r="U264" s="7" t="n">
        <v>20</v>
      </c>
      <c r="V264" s="7" t="n">
        <v>42</v>
      </c>
      <c r="W264" s="7" t="n">
        <v>21</v>
      </c>
      <c r="X264" s="7" t="n">
        <v>42</v>
      </c>
      <c r="Y264" s="7" t="n"/>
      <c r="Z264" s="7" t="n"/>
      <c r="AA264" s="7" t="n"/>
      <c r="AB264" s="7" t="n">
        <v>165</v>
      </c>
      <c r="AC264" s="7" t="n">
        <v>461.26</v>
      </c>
      <c r="AD264" s="7" t="n">
        <v>1021</v>
      </c>
      <c r="AE264" s="8">
        <f>SUM(C264,E264,G264,I264,K264,M264,O264,Q264,S264,U264,W264,Y264,AA264,AC264)</f>
        <v/>
      </c>
      <c r="AF264" s="8">
        <f>SUM(D264,F264,H264,J264,L264,N264,P264,R264,T264,V264,X264,Z264,AB264,AD264)</f>
        <v/>
      </c>
      <c r="AG264" s="8">
        <f>AE264+AF264</f>
        <v/>
      </c>
    </row>
    <row r="265">
      <c r="A265" s="10" t="n">
        <v>260</v>
      </c>
      <c r="B265" s="28" t="inlineStr">
        <is>
          <t>Balışıh</t>
        </is>
      </c>
      <c r="C265" s="12" t="n">
        <v>5404</v>
      </c>
      <c r="D265" s="12" t="n">
        <v>1039</v>
      </c>
      <c r="E265" s="12" t="n"/>
      <c r="F265" s="12" t="n">
        <v>127.5</v>
      </c>
      <c r="G265" s="12" t="n"/>
      <c r="H265" s="12" t="n"/>
      <c r="I265" s="12" t="n">
        <v>19965.335</v>
      </c>
      <c r="J265" s="12" t="n"/>
      <c r="K265" s="12" t="n"/>
      <c r="L265" s="12" t="n"/>
      <c r="M265" s="12" t="n"/>
      <c r="N265" s="12" t="n">
        <v>15</v>
      </c>
      <c r="O265" s="12" t="n">
        <v>451</v>
      </c>
      <c r="P265" s="12" t="n">
        <v>9442.4</v>
      </c>
      <c r="Q265" s="12" t="n">
        <v>1033.05</v>
      </c>
      <c r="R265" s="12" t="n">
        <v>10914.81</v>
      </c>
      <c r="S265" s="12" t="n">
        <v>303.58</v>
      </c>
      <c r="T265" s="12" t="n">
        <v>452.5</v>
      </c>
      <c r="U265" s="12" t="n">
        <v>355.75</v>
      </c>
      <c r="V265" s="12" t="n">
        <v>5754.669</v>
      </c>
      <c r="W265" s="12" t="n">
        <v>241.31</v>
      </c>
      <c r="X265" s="12" t="n">
        <v>476.08</v>
      </c>
      <c r="Y265" s="12" t="n">
        <v>122.86</v>
      </c>
      <c r="Z265" s="12" t="n"/>
      <c r="AA265" s="12" t="n">
        <v>9</v>
      </c>
      <c r="AB265" s="12" t="n">
        <v>11</v>
      </c>
      <c r="AC265" s="12" t="n">
        <v>57</v>
      </c>
      <c r="AD265" s="12" t="n">
        <v>56</v>
      </c>
      <c r="AE265" s="13">
        <f>SUM(C265,E265,G265,I265,K265,M265,O265,Q265,S265,U265,W265,Y265,AA265,AC265)</f>
        <v/>
      </c>
      <c r="AF265" s="13">
        <f>SUM(D265,F265,H265,J265,L265,N265,P265,R265,T265,V265,X265,Z265,AB265,AD265)</f>
        <v/>
      </c>
      <c r="AG265" s="13">
        <f>AE265+AF265</f>
        <v/>
      </c>
    </row>
    <row r="266">
      <c r="A266" s="5" t="n">
        <v>261</v>
      </c>
      <c r="B266" s="27" t="inlineStr">
        <is>
          <t>Çaycuma</t>
        </is>
      </c>
      <c r="C266" s="7" t="n">
        <v>21841.234</v>
      </c>
      <c r="D266" s="7" t="n">
        <v>548.5599999999999</v>
      </c>
      <c r="E266" s="7" t="n">
        <v>14818.1</v>
      </c>
      <c r="F266" s="7" t="n">
        <v>1076</v>
      </c>
      <c r="G266" s="7" t="n">
        <v>7321.05</v>
      </c>
      <c r="H266" s="7" t="n">
        <v>289.62</v>
      </c>
      <c r="I266" s="7" t="n">
        <v>1422.8</v>
      </c>
      <c r="J266" s="7" t="n">
        <v>186.7</v>
      </c>
      <c r="K266" s="7" t="n">
        <v>883.01</v>
      </c>
      <c r="L266" s="7" t="n">
        <v>433.21</v>
      </c>
      <c r="M266" s="7" t="n">
        <v>1307.85</v>
      </c>
      <c r="N266" s="7" t="n">
        <v>739.35</v>
      </c>
      <c r="O266" s="7" t="n">
        <v>1413.27</v>
      </c>
      <c r="P266" s="7" t="n">
        <v>1245.32</v>
      </c>
      <c r="Q266" s="7" t="n">
        <v>907.7</v>
      </c>
      <c r="R266" s="7" t="n">
        <v>1633.97</v>
      </c>
      <c r="S266" s="7" t="n"/>
      <c r="T266" s="7" t="n"/>
      <c r="U266" s="7" t="n"/>
      <c r="V266" s="7" t="n"/>
      <c r="W266" s="7" t="n"/>
      <c r="X266" s="7" t="n">
        <v>9.5</v>
      </c>
      <c r="Y266" s="7" t="n"/>
      <c r="Z266" s="7" t="n"/>
      <c r="AA266" s="7" t="n"/>
      <c r="AB266" s="7" t="n"/>
      <c r="AC266" s="7" t="n"/>
      <c r="AD266" s="7" t="n"/>
      <c r="AE266" s="8">
        <f>SUM(C266,E266,G266,I266,K266,M266,O266,Q266,S266,U266,W266,Y266,AA266,AC266)</f>
        <v/>
      </c>
      <c r="AF266" s="8">
        <f>SUM(D266,F266,H266,J266,L266,N266,P266,R266,T266,V266,X266,Z266,AB266,AD266)</f>
        <v/>
      </c>
      <c r="AG266" s="8">
        <f>AE266+AF266</f>
        <v/>
      </c>
    </row>
    <row r="267">
      <c r="A267" s="10" t="n">
        <v>262</v>
      </c>
      <c r="B267" s="28" t="inlineStr">
        <is>
          <t>Esenkent</t>
        </is>
      </c>
      <c r="C267" s="12" t="n">
        <v>13341.1</v>
      </c>
      <c r="D267" s="12" t="n">
        <v>11937.6</v>
      </c>
      <c r="E267" s="12" t="n">
        <v>18445</v>
      </c>
      <c r="F267" s="12" t="n">
        <v>68</v>
      </c>
      <c r="G267" s="12" t="n">
        <v>60</v>
      </c>
      <c r="H267" s="12" t="n">
        <v>1254.2</v>
      </c>
      <c r="I267" s="12" t="n"/>
      <c r="J267" s="12" t="n">
        <v>50</v>
      </c>
      <c r="K267" s="12" t="n"/>
      <c r="L267" s="12" t="n">
        <v>192.747</v>
      </c>
      <c r="M267" s="12" t="n"/>
      <c r="N267" s="12" t="n">
        <v>410.09</v>
      </c>
      <c r="O267" s="12" t="n"/>
      <c r="P267" s="12" t="n">
        <v>134.975</v>
      </c>
      <c r="Q267" s="12" t="n"/>
      <c r="R267" s="12" t="n"/>
      <c r="S267" s="12" t="n"/>
      <c r="T267" s="12" t="n">
        <v>1674</v>
      </c>
      <c r="U267" s="12" t="n">
        <v>441.51</v>
      </c>
      <c r="V267" s="12" t="n">
        <v>571.66</v>
      </c>
      <c r="W267" s="12" t="n">
        <v>297.05</v>
      </c>
      <c r="X267" s="12" t="n">
        <v>674.245</v>
      </c>
      <c r="Y267" s="12" t="n">
        <v>434.05</v>
      </c>
      <c r="Z267" s="12" t="n">
        <v>660.785</v>
      </c>
      <c r="AA267" s="12" t="n">
        <v>922.075</v>
      </c>
      <c r="AB267" s="12" t="n">
        <v>937.1900000000001</v>
      </c>
      <c r="AC267" s="12" t="n">
        <v>300.215</v>
      </c>
      <c r="AD267" s="12" t="n">
        <v>411.95</v>
      </c>
      <c r="AE267" s="13">
        <f>SUM(C267,E267,G267,I267,K267,M267,O267,Q267,S267,U267,W267,Y267,AA267,AC267)</f>
        <v/>
      </c>
      <c r="AF267" s="13">
        <f>SUM(D267,F267,H267,J267,L267,N267,P267,R267,T267,V267,X267,Z267,AB267,AD267)</f>
        <v/>
      </c>
      <c r="AG267" s="13">
        <f>AE267+AF267</f>
        <v/>
      </c>
    </row>
    <row r="268">
      <c r="A268" s="5" t="n">
        <v>263</v>
      </c>
      <c r="B268" s="27" t="inlineStr">
        <is>
          <t>Germece</t>
        </is>
      </c>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v>1017.7</v>
      </c>
      <c r="Z268" s="7" t="n">
        <v>425.516</v>
      </c>
      <c r="AA268" s="7" t="n">
        <v>12990.11</v>
      </c>
      <c r="AB268" s="7" t="n">
        <v>5574.92</v>
      </c>
      <c r="AC268" s="7" t="n">
        <v>24218.62</v>
      </c>
      <c r="AD268" s="7" t="n">
        <v>6214.59</v>
      </c>
      <c r="AE268" s="8">
        <f>SUM(C268,E268,G268,I268,K268,M268,O268,Q268,S268,U268,W268,Y268,AA268,AC268)</f>
        <v/>
      </c>
      <c r="AF268" s="8">
        <f>SUM(D268,F268,H268,J268,L268,N268,P268,R268,T268,V268,X268,Z268,AB268,AD268)</f>
        <v/>
      </c>
      <c r="AG268" s="8">
        <f>AE268+AF268</f>
        <v/>
      </c>
    </row>
    <row r="269">
      <c r="A269" s="10" t="n">
        <v>264</v>
      </c>
      <c r="B269" s="28" t="inlineStr">
        <is>
          <t>Maden</t>
        </is>
      </c>
      <c r="C269" s="12" t="n"/>
      <c r="D269" s="12" t="n"/>
      <c r="E269" s="12" t="n">
        <v>25.3</v>
      </c>
      <c r="F269" s="12" t="n">
        <v>85.3</v>
      </c>
      <c r="G269" s="12" t="n">
        <v>173</v>
      </c>
      <c r="H269" s="12" t="n">
        <v>1007.8</v>
      </c>
      <c r="I269" s="12" t="n"/>
      <c r="J269" s="12" t="n">
        <v>1108</v>
      </c>
      <c r="K269" s="12" t="n"/>
      <c r="L269" s="12" t="n">
        <v>8263.200000000001</v>
      </c>
      <c r="M269" s="12" t="n">
        <v>8918.34</v>
      </c>
      <c r="N269" s="12" t="n">
        <v>16532.8</v>
      </c>
      <c r="O269" s="12" t="n">
        <v>3920.145</v>
      </c>
      <c r="P269" s="12" t="n">
        <v>6998.8</v>
      </c>
      <c r="Q269" s="12" t="n">
        <v>808.475</v>
      </c>
      <c r="R269" s="12" t="n">
        <v>1705</v>
      </c>
      <c r="S269" s="12" t="n"/>
      <c r="T269" s="12" t="n">
        <v>550</v>
      </c>
      <c r="U269" s="12" t="n">
        <v>13.3</v>
      </c>
      <c r="V269" s="12" t="n"/>
      <c r="W269" s="12" t="n"/>
      <c r="X269" s="12" t="n"/>
      <c r="Y269" s="12" t="n"/>
      <c r="Z269" s="12" t="n"/>
      <c r="AA269" s="12" t="n"/>
      <c r="AB269" s="12" t="n"/>
      <c r="AC269" s="12" t="n"/>
      <c r="AD269" s="12" t="n"/>
      <c r="AE269" s="13">
        <f>SUM(C269,E269,G269,I269,K269,M269,O269,Q269,S269,U269,W269,Y269,AA269,AC269)</f>
        <v/>
      </c>
      <c r="AF269" s="13">
        <f>SUM(D269,F269,H269,J269,L269,N269,P269,R269,T269,V269,X269,Z269,AB269,AD269)</f>
        <v/>
      </c>
      <c r="AG269" s="13">
        <f>AE269+AF269</f>
        <v/>
      </c>
    </row>
    <row r="270">
      <c r="A270" s="5" t="n">
        <v>265</v>
      </c>
      <c r="B270" s="27" t="inlineStr">
        <is>
          <t>Beyhan</t>
        </is>
      </c>
      <c r="C270" s="7" t="n">
        <v>107</v>
      </c>
      <c r="D270" s="7" t="n">
        <v>2501.57</v>
      </c>
      <c r="E270" s="7" t="n">
        <v>3550.72</v>
      </c>
      <c r="F270" s="7" t="n">
        <v>30065.045</v>
      </c>
      <c r="G270" s="7" t="n">
        <v>180</v>
      </c>
      <c r="H270" s="7" t="n">
        <v>1318</v>
      </c>
      <c r="I270" s="7" t="n"/>
      <c r="J270" s="7" t="n">
        <v>550</v>
      </c>
      <c r="K270" s="7" t="n">
        <v>60</v>
      </c>
      <c r="L270" s="7" t="n">
        <v>652</v>
      </c>
      <c r="M270" s="7" t="n">
        <v>3050</v>
      </c>
      <c r="N270" s="7" t="n">
        <v>5897</v>
      </c>
      <c r="O270" s="7" t="n"/>
      <c r="P270" s="7" t="n"/>
      <c r="Q270" s="7" t="n">
        <v>69.90000000000001</v>
      </c>
      <c r="R270" s="7" t="n">
        <v>1439.2</v>
      </c>
      <c r="S270" s="7" t="n"/>
      <c r="T270" s="7" t="n"/>
      <c r="U270" s="7" t="n"/>
      <c r="V270" s="7" t="n"/>
      <c r="W270" s="7" t="n"/>
      <c r="X270" s="7" t="n"/>
      <c r="Y270" s="7" t="n"/>
      <c r="Z270" s="7" t="n"/>
      <c r="AA270" s="7" t="n"/>
      <c r="AB270" s="7" t="n"/>
      <c r="AC270" s="7" t="n"/>
      <c r="AD270" s="7" t="n"/>
      <c r="AE270" s="8">
        <f>SUM(C270,E270,G270,I270,K270,M270,O270,Q270,S270,U270,W270,Y270,AA270,AC270)</f>
        <v/>
      </c>
      <c r="AF270" s="8">
        <f>SUM(D270,F270,H270,J270,L270,N270,P270,R270,T270,V270,X270,Z270,AB270,AD270)</f>
        <v/>
      </c>
      <c r="AG270" s="8">
        <f>AE270+AF270</f>
        <v/>
      </c>
    </row>
    <row r="271">
      <c r="A271" s="10" t="n">
        <v>266</v>
      </c>
      <c r="B271" s="28" t="inlineStr">
        <is>
          <t>Akçakale</t>
        </is>
      </c>
      <c r="C271" s="12" t="n">
        <v>3126.55</v>
      </c>
      <c r="D271" s="12" t="n">
        <v>33284.53</v>
      </c>
      <c r="E271" s="12" t="n">
        <v>1766.41</v>
      </c>
      <c r="F271" s="12" t="n">
        <v>9204.715</v>
      </c>
      <c r="G271" s="12" t="n"/>
      <c r="H271" s="12" t="n">
        <v>52</v>
      </c>
      <c r="I271" s="12" t="n"/>
      <c r="J271" s="12" t="n">
        <v>48</v>
      </c>
      <c r="K271" s="12" t="n"/>
      <c r="L271" s="12" t="n"/>
      <c r="M271" s="12" t="n"/>
      <c r="N271" s="12" t="n"/>
      <c r="O271" s="12" t="n"/>
      <c r="P271" s="12" t="n"/>
      <c r="Q271" s="12" t="n"/>
      <c r="R271" s="12" t="n"/>
      <c r="S271" s="12" t="n"/>
      <c r="T271" s="12" t="n"/>
      <c r="U271" s="12" t="n"/>
      <c r="V271" s="12" t="n"/>
      <c r="W271" s="12" t="n"/>
      <c r="X271" s="12" t="n"/>
      <c r="Y271" s="12" t="n"/>
      <c r="Z271" s="12" t="n"/>
      <c r="AA271" s="12" t="n"/>
      <c r="AB271" s="12" t="n">
        <v>130</v>
      </c>
      <c r="AC271" s="12" t="n">
        <v>19</v>
      </c>
      <c r="AD271" s="12" t="n">
        <v>1653</v>
      </c>
      <c r="AE271" s="13">
        <f>SUM(C271,E271,G271,I271,K271,M271,O271,Q271,S271,U271,W271,Y271,AA271,AC271)</f>
        <v/>
      </c>
      <c r="AF271" s="13">
        <f>SUM(D271,F271,H271,J271,L271,N271,P271,R271,T271,V271,X271,Z271,AB271,AD271)</f>
        <v/>
      </c>
      <c r="AG271" s="13">
        <f>AE271+AF271</f>
        <v/>
      </c>
    </row>
    <row r="272">
      <c r="A272" s="5" t="n">
        <v>267</v>
      </c>
      <c r="B272" s="27" t="inlineStr">
        <is>
          <t>Gezin</t>
        </is>
      </c>
      <c r="C272" s="7" t="n">
        <v>10</v>
      </c>
      <c r="D272" s="7" t="n">
        <v>24.43</v>
      </c>
      <c r="E272" s="7" t="n"/>
      <c r="F272" s="7" t="n">
        <v>24.96</v>
      </c>
      <c r="G272" s="7" t="n">
        <v>10639</v>
      </c>
      <c r="H272" s="7" t="n"/>
      <c r="I272" s="7" t="n">
        <v>24943.57</v>
      </c>
      <c r="J272" s="7" t="n"/>
      <c r="K272" s="7" t="n">
        <v>224.8</v>
      </c>
      <c r="L272" s="7" t="n">
        <v>9633.200000000001</v>
      </c>
      <c r="M272" s="7" t="n">
        <v>204.201</v>
      </c>
      <c r="N272" s="7" t="n">
        <v>664</v>
      </c>
      <c r="O272" s="7" t="n"/>
      <c r="P272" s="7" t="n"/>
      <c r="Q272" s="7" t="n"/>
      <c r="R272" s="7" t="n">
        <v>69</v>
      </c>
      <c r="S272" s="7" t="n"/>
      <c r="T272" s="7" t="n"/>
      <c r="U272" s="7" t="n"/>
      <c r="V272" s="7" t="n"/>
      <c r="W272" s="7" t="n"/>
      <c r="X272" s="7" t="n"/>
      <c r="Y272" s="7" t="n"/>
      <c r="Z272" s="7" t="n"/>
      <c r="AA272" s="7" t="n"/>
      <c r="AB272" s="7" t="n"/>
      <c r="AC272" s="7" t="n"/>
      <c r="AD272" s="7" t="n">
        <v>609.6</v>
      </c>
      <c r="AE272" s="8">
        <f>SUM(C272,E272,G272,I272,K272,M272,O272,Q272,S272,U272,W272,Y272,AA272,AC272)</f>
        <v/>
      </c>
      <c r="AF272" s="8">
        <f>SUM(D272,F272,H272,J272,L272,N272,P272,R272,T272,V272,X272,Z272,AB272,AD272)</f>
        <v/>
      </c>
      <c r="AG272" s="8">
        <f>AE272+AF272</f>
        <v/>
      </c>
    </row>
    <row r="273">
      <c r="A273" s="10" t="n">
        <v>268</v>
      </c>
      <c r="B273" s="28" t="inlineStr">
        <is>
          <t>Atkaracalar</t>
        </is>
      </c>
      <c r="C273" s="12" t="n"/>
      <c r="D273" s="12" t="n"/>
      <c r="E273" s="12" t="n"/>
      <c r="F273" s="12" t="n"/>
      <c r="G273" s="12" t="n"/>
      <c r="H273" s="12" t="n"/>
      <c r="I273" s="12" t="n"/>
      <c r="J273" s="12" t="n"/>
      <c r="K273" s="12" t="n"/>
      <c r="L273" s="12" t="n"/>
      <c r="M273" s="12" t="n"/>
      <c r="N273" s="12" t="n"/>
      <c r="O273" s="12" t="n">
        <v>42985.6</v>
      </c>
      <c r="P273" s="12" t="n"/>
      <c r="Q273" s="12" t="n">
        <v>2040</v>
      </c>
      <c r="R273" s="12" t="n"/>
      <c r="S273" s="12" t="n"/>
      <c r="T273" s="12" t="n">
        <v>345.5</v>
      </c>
      <c r="U273" s="12" t="n">
        <v>73.34</v>
      </c>
      <c r="V273" s="12" t="n">
        <v>73.34</v>
      </c>
      <c r="W273" s="12" t="n"/>
      <c r="X273" s="12" t="n"/>
      <c r="Y273" s="12" t="n">
        <v>275</v>
      </c>
      <c r="Z273" s="12" t="n"/>
      <c r="AA273" s="12" t="n">
        <v>226.325</v>
      </c>
      <c r="AB273" s="12" t="n">
        <v>737.03</v>
      </c>
      <c r="AC273" s="12" t="n"/>
      <c r="AD273" s="12" t="n"/>
      <c r="AE273" s="13">
        <f>SUM(C273,E273,G273,I273,K273,M273,O273,Q273,S273,U273,W273,Y273,AA273,AC273)</f>
        <v/>
      </c>
      <c r="AF273" s="13">
        <f>SUM(D273,F273,H273,J273,L273,N273,P273,R273,T273,V273,X273,Z273,AB273,AD273)</f>
        <v/>
      </c>
      <c r="AG273" s="13">
        <f>AE273+AF273</f>
        <v/>
      </c>
    </row>
    <row r="274">
      <c r="A274" s="5" t="n">
        <v>269</v>
      </c>
      <c r="B274" s="27" t="inlineStr">
        <is>
          <t>Doğanşehir</t>
        </is>
      </c>
      <c r="C274" s="7" t="n">
        <v>343.7</v>
      </c>
      <c r="D274" s="7" t="n">
        <v>5995.59</v>
      </c>
      <c r="E274" s="7" t="n"/>
      <c r="F274" s="7" t="n">
        <v>5762.4</v>
      </c>
      <c r="G274" s="7" t="n"/>
      <c r="H274" s="7" t="n">
        <v>4449.89</v>
      </c>
      <c r="I274" s="7" t="n">
        <v>1700</v>
      </c>
      <c r="J274" s="7" t="n">
        <v>22200.16</v>
      </c>
      <c r="K274" s="7" t="n"/>
      <c r="L274" s="7" t="n">
        <v>1189.842</v>
      </c>
      <c r="M274" s="7" t="n"/>
      <c r="N274" s="7" t="n">
        <v>1248</v>
      </c>
      <c r="O274" s="7" t="n"/>
      <c r="P274" s="7" t="n">
        <v>1539.25</v>
      </c>
      <c r="Q274" s="7" t="n"/>
      <c r="R274" s="7" t="n">
        <v>1503.55</v>
      </c>
      <c r="S274" s="7" t="n"/>
      <c r="T274" s="7" t="n">
        <v>396.1</v>
      </c>
      <c r="U274" s="7" t="n"/>
      <c r="V274" s="7" t="n"/>
      <c r="W274" s="7" t="n"/>
      <c r="X274" s="7" t="n"/>
      <c r="Y274" s="7" t="n"/>
      <c r="Z274" s="7" t="n"/>
      <c r="AA274" s="7" t="n"/>
      <c r="AB274" s="7" t="n"/>
      <c r="AC274" s="7" t="n"/>
      <c r="AD274" s="7" t="n"/>
      <c r="AE274" s="8">
        <f>SUM(C274,E274,G274,I274,K274,M274,O274,Q274,S274,U274,W274,Y274,AA274,AC274)</f>
        <v/>
      </c>
      <c r="AF274" s="8">
        <f>SUM(D274,F274,H274,J274,L274,N274,P274,R274,T274,V274,X274,Z274,AB274,AD274)</f>
        <v/>
      </c>
      <c r="AG274" s="8">
        <f>AE274+AF274</f>
        <v/>
      </c>
    </row>
    <row r="275">
      <c r="A275" s="10" t="n">
        <v>270</v>
      </c>
      <c r="B275" s="28" t="inlineStr">
        <is>
          <t>Kavak</t>
        </is>
      </c>
      <c r="C275" s="12" t="n"/>
      <c r="D275" s="12" t="n"/>
      <c r="E275" s="12" t="n">
        <v>2307.1</v>
      </c>
      <c r="F275" s="12" t="n">
        <v>13553.17</v>
      </c>
      <c r="G275" s="12" t="n">
        <v>4465</v>
      </c>
      <c r="H275" s="12" t="n">
        <v>22692.25</v>
      </c>
      <c r="I275" s="12" t="n"/>
      <c r="J275" s="12" t="n"/>
      <c r="K275" s="12" t="n"/>
      <c r="L275" s="12" t="n"/>
      <c r="M275" s="12" t="n"/>
      <c r="N275" s="12" t="n"/>
      <c r="O275" s="12" t="n"/>
      <c r="P275" s="12" t="n"/>
      <c r="Q275" s="12" t="n"/>
      <c r="R275" s="12" t="n"/>
      <c r="S275" s="12" t="n"/>
      <c r="T275" s="12" t="n"/>
      <c r="U275" s="12" t="n"/>
      <c r="V275" s="12" t="n"/>
      <c r="W275" s="12" t="n"/>
      <c r="X275" s="12" t="n">
        <v>40</v>
      </c>
      <c r="Y275" s="12" t="n"/>
      <c r="Z275" s="12" t="n"/>
      <c r="AA275" s="12" t="n"/>
      <c r="AB275" s="12" t="n"/>
      <c r="AC275" s="12" t="n"/>
      <c r="AD275" s="12" t="n"/>
      <c r="AE275" s="13">
        <f>SUM(C275,E275,G275,I275,K275,M275,O275,Q275,S275,U275,W275,Y275,AA275,AC275)</f>
        <v/>
      </c>
      <c r="AF275" s="13">
        <f>SUM(D275,F275,H275,J275,L275,N275,P275,R275,T275,V275,X275,Z275,AB275,AD275)</f>
        <v/>
      </c>
      <c r="AG275" s="13">
        <f>AE275+AF275</f>
        <v/>
      </c>
    </row>
    <row r="276">
      <c r="A276" s="5" t="n">
        <v>271</v>
      </c>
      <c r="B276" s="27" t="inlineStr">
        <is>
          <t>Mustafayavuz</t>
        </is>
      </c>
      <c r="C276" s="7" t="n">
        <v>12543</v>
      </c>
      <c r="D276" s="7" t="n"/>
      <c r="E276" s="7" t="n">
        <v>8950</v>
      </c>
      <c r="F276" s="7" t="n">
        <v>1546.8</v>
      </c>
      <c r="G276" s="7" t="n">
        <v>0</v>
      </c>
      <c r="H276" s="7" t="n"/>
      <c r="I276" s="7" t="n"/>
      <c r="J276" s="7" t="n">
        <v>2200</v>
      </c>
      <c r="K276" s="7" t="n"/>
      <c r="L276" s="7" t="n"/>
      <c r="M276" s="7" t="n"/>
      <c r="N276" s="7" t="n"/>
      <c r="O276" s="7" t="n"/>
      <c r="P276" s="7" t="n"/>
      <c r="Q276" s="7" t="n"/>
      <c r="R276" s="7" t="n"/>
      <c r="S276" s="7" t="n"/>
      <c r="T276" s="7" t="n"/>
      <c r="U276" s="7" t="n">
        <v>3772</v>
      </c>
      <c r="V276" s="7" t="n">
        <v>2013.9</v>
      </c>
      <c r="W276" s="7" t="n"/>
      <c r="X276" s="7" t="n"/>
      <c r="Y276" s="7" t="n"/>
      <c r="Z276" s="7" t="n"/>
      <c r="AA276" s="7" t="n">
        <v>120.875</v>
      </c>
      <c r="AB276" s="7" t="n">
        <v>231.5</v>
      </c>
      <c r="AC276" s="7" t="n">
        <v>217</v>
      </c>
      <c r="AD276" s="7" t="n">
        <v>6228.221</v>
      </c>
      <c r="AE276" s="8">
        <f>SUM(C276,E276,G276,I276,K276,M276,O276,Q276,S276,U276,W276,Y276,AA276,AC276)</f>
        <v/>
      </c>
      <c r="AF276" s="8">
        <f>SUM(D276,F276,H276,J276,L276,N276,P276,R276,T276,V276,X276,Z276,AB276,AD276)</f>
        <v/>
      </c>
      <c r="AG276" s="8">
        <f>AE276+AF276</f>
        <v/>
      </c>
    </row>
    <row r="277">
      <c r="A277" s="10" t="n">
        <v>272</v>
      </c>
      <c r="B277" s="28" t="inlineStr">
        <is>
          <t>Sarıoğlan</t>
        </is>
      </c>
      <c r="C277" s="12" t="n"/>
      <c r="D277" s="12" t="n">
        <v>1009.9</v>
      </c>
      <c r="E277" s="12" t="n"/>
      <c r="F277" s="12" t="n">
        <v>1815</v>
      </c>
      <c r="G277" s="12" t="n">
        <v>84</v>
      </c>
      <c r="H277" s="12" t="n">
        <v>1073.12</v>
      </c>
      <c r="I277" s="12" t="n">
        <v>234.84</v>
      </c>
      <c r="J277" s="12" t="n">
        <v>950</v>
      </c>
      <c r="K277" s="12" t="n"/>
      <c r="L277" s="12" t="n">
        <v>1200</v>
      </c>
      <c r="M277" s="12" t="n"/>
      <c r="N277" s="12" t="n"/>
      <c r="O277" s="12" t="n"/>
      <c r="P277" s="12" t="n">
        <v>871.25</v>
      </c>
      <c r="Q277" s="12" t="n"/>
      <c r="R277" s="12" t="n">
        <v>10580.305</v>
      </c>
      <c r="S277" s="12" t="n">
        <v>520.04</v>
      </c>
      <c r="T277" s="12" t="n">
        <v>7590.625</v>
      </c>
      <c r="U277" s="12" t="n">
        <v>3667.96</v>
      </c>
      <c r="V277" s="12" t="n">
        <v>3190.635</v>
      </c>
      <c r="W277" s="12" t="n">
        <v>2345.8</v>
      </c>
      <c r="X277" s="12" t="n">
        <v>775.53</v>
      </c>
      <c r="Y277" s="12" t="n"/>
      <c r="Z277" s="12" t="n">
        <v>91.2</v>
      </c>
      <c r="AA277" s="12" t="n">
        <v>122</v>
      </c>
      <c r="AB277" s="12" t="n">
        <v>86</v>
      </c>
      <c r="AC277" s="12" t="n">
        <v>4</v>
      </c>
      <c r="AD277" s="12" t="n">
        <v>4</v>
      </c>
      <c r="AE277" s="13">
        <f>SUM(C277,E277,G277,I277,K277,M277,O277,Q277,S277,U277,W277,Y277,AA277,AC277)</f>
        <v/>
      </c>
      <c r="AF277" s="13">
        <f>SUM(D277,F277,H277,J277,L277,N277,P277,R277,T277,V277,X277,Z277,AB277,AD277)</f>
        <v/>
      </c>
      <c r="AG277" s="13">
        <f>AE277+AF277</f>
        <v/>
      </c>
    </row>
    <row r="278">
      <c r="A278" s="5" t="n">
        <v>273</v>
      </c>
      <c r="B278" s="27" t="inlineStr">
        <is>
          <t>Polatlı</t>
        </is>
      </c>
      <c r="C278" s="7" t="n">
        <v>150</v>
      </c>
      <c r="D278" s="7" t="n">
        <v>477.5</v>
      </c>
      <c r="E278" s="7" t="n">
        <v>1571.5</v>
      </c>
      <c r="F278" s="7" t="n">
        <v>5578.946</v>
      </c>
      <c r="G278" s="7" t="n">
        <v>668.91</v>
      </c>
      <c r="H278" s="7" t="n">
        <v>1539.704</v>
      </c>
      <c r="I278" s="7" t="n">
        <v>232.52</v>
      </c>
      <c r="J278" s="7" t="n">
        <v>414.375</v>
      </c>
      <c r="K278" s="7" t="n">
        <v>267.41</v>
      </c>
      <c r="L278" s="7" t="n">
        <v>9589.370000000001</v>
      </c>
      <c r="M278" s="7" t="n">
        <v>927.96</v>
      </c>
      <c r="N278" s="7" t="n">
        <v>283.658</v>
      </c>
      <c r="O278" s="7" t="n">
        <v>525.164</v>
      </c>
      <c r="P278" s="7" t="n">
        <v>1884.955</v>
      </c>
      <c r="Q278" s="7" t="n">
        <v>194.42</v>
      </c>
      <c r="R278" s="7" t="n">
        <v>353.775</v>
      </c>
      <c r="S278" s="7" t="n">
        <v>421.48</v>
      </c>
      <c r="T278" s="7" t="n">
        <v>976.5</v>
      </c>
      <c r="U278" s="7" t="n">
        <v>138.96</v>
      </c>
      <c r="V278" s="7" t="n">
        <v>2434.014</v>
      </c>
      <c r="W278" s="7" t="n">
        <v>235.08</v>
      </c>
      <c r="X278" s="7" t="n">
        <v>327.856</v>
      </c>
      <c r="Y278" s="7" t="n">
        <v>96.22</v>
      </c>
      <c r="Z278" s="7" t="n">
        <v>145.88</v>
      </c>
      <c r="AA278" s="7" t="n">
        <v>1304.81</v>
      </c>
      <c r="AB278" s="7" t="n">
        <v>1962.74</v>
      </c>
      <c r="AC278" s="7" t="n">
        <v>14.7</v>
      </c>
      <c r="AD278" s="7" t="n">
        <v>398.08</v>
      </c>
      <c r="AE278" s="8">
        <f>SUM(C278,E278,G278,I278,K278,M278,O278,Q278,S278,U278,W278,Y278,AA278,AC278)</f>
        <v/>
      </c>
      <c r="AF278" s="8">
        <f>SUM(D278,F278,H278,J278,L278,N278,P278,R278,T278,V278,X278,Z278,AB278,AD278)</f>
        <v/>
      </c>
      <c r="AG278" s="8">
        <f>AE278+AF278</f>
        <v/>
      </c>
    </row>
    <row r="279">
      <c r="A279" s="10" t="n">
        <v>274</v>
      </c>
      <c r="B279" s="28" t="inlineStr">
        <is>
          <t>Yeniçubuk</t>
        </is>
      </c>
      <c r="C279" s="12" t="n">
        <v>2162</v>
      </c>
      <c r="D279" s="12" t="n">
        <v>485.75</v>
      </c>
      <c r="E279" s="12" t="n">
        <v>6800</v>
      </c>
      <c r="F279" s="12" t="n">
        <v>1130</v>
      </c>
      <c r="G279" s="12" t="n"/>
      <c r="H279" s="12" t="n">
        <v>6241.2</v>
      </c>
      <c r="I279" s="12" t="n"/>
      <c r="J279" s="12" t="n"/>
      <c r="K279" s="12" t="n"/>
      <c r="L279" s="12" t="n"/>
      <c r="M279" s="12" t="n"/>
      <c r="N279" s="12" t="n"/>
      <c r="O279" s="12" t="n"/>
      <c r="P279" s="12" t="n"/>
      <c r="Q279" s="12" t="n"/>
      <c r="R279" s="12" t="n">
        <v>7773.6</v>
      </c>
      <c r="S279" s="12" t="n"/>
      <c r="T279" s="12" t="n">
        <v>3060.2</v>
      </c>
      <c r="U279" s="12" t="n">
        <v>600</v>
      </c>
      <c r="V279" s="12" t="n"/>
      <c r="W279" s="12" t="n">
        <v>617</v>
      </c>
      <c r="X279" s="12" t="n"/>
      <c r="Y279" s="12" t="n">
        <v>3551</v>
      </c>
      <c r="Z279" s="12" t="n"/>
      <c r="AA279" s="12" t="n">
        <v>41</v>
      </c>
      <c r="AB279" s="12" t="n">
        <v>31</v>
      </c>
      <c r="AC279" s="12" t="n">
        <v>242.92</v>
      </c>
      <c r="AD279" s="12" t="n">
        <v>1</v>
      </c>
      <c r="AE279" s="13">
        <f>SUM(C279,E279,G279,I279,K279,M279,O279,Q279,S279,U279,W279,Y279,AA279,AC279)</f>
        <v/>
      </c>
      <c r="AF279" s="13">
        <f>SUM(D279,F279,H279,J279,L279,N279,P279,R279,T279,V279,X279,Z279,AB279,AD279)</f>
        <v/>
      </c>
      <c r="AG279" s="13">
        <f>AE279+AF279</f>
        <v/>
      </c>
    </row>
    <row r="280">
      <c r="A280" s="5" t="n">
        <v>275</v>
      </c>
      <c r="B280" s="27" t="inlineStr">
        <is>
          <t>Yıldızeli</t>
        </is>
      </c>
      <c r="C280" s="7" t="n">
        <v>12396.6</v>
      </c>
      <c r="D280" s="7" t="n">
        <v>50.13</v>
      </c>
      <c r="E280" s="7" t="n">
        <v>12676</v>
      </c>
      <c r="F280" s="7" t="n">
        <v>3593.9</v>
      </c>
      <c r="G280" s="7" t="n"/>
      <c r="H280" s="7" t="n">
        <v>24</v>
      </c>
      <c r="I280" s="7" t="n"/>
      <c r="J280" s="7" t="n"/>
      <c r="K280" s="7" t="n"/>
      <c r="L280" s="7" t="n"/>
      <c r="M280" s="7" t="n"/>
      <c r="N280" s="7" t="n"/>
      <c r="O280" s="7" t="n"/>
      <c r="P280" s="7" t="n"/>
      <c r="Q280" s="7" t="n"/>
      <c r="R280" s="7" t="n"/>
      <c r="S280" s="7" t="n">
        <v>440</v>
      </c>
      <c r="T280" s="7" t="n">
        <v>463.5</v>
      </c>
      <c r="U280" s="7" t="n"/>
      <c r="V280" s="7" t="n"/>
      <c r="W280" s="7" t="n"/>
      <c r="X280" s="7" t="n"/>
      <c r="Y280" s="7" t="n"/>
      <c r="Z280" s="7" t="n"/>
      <c r="AA280" s="7" t="n">
        <v>629</v>
      </c>
      <c r="AB280" s="7" t="n">
        <v>629</v>
      </c>
      <c r="AC280" s="7" t="n"/>
      <c r="AD280" s="7" t="n">
        <v>892.8</v>
      </c>
      <c r="AE280" s="8">
        <f>SUM(C280,E280,G280,I280,K280,M280,O280,Q280,S280,U280,W280,Y280,AA280,AC280)</f>
        <v/>
      </c>
      <c r="AF280" s="8">
        <f>SUM(D280,F280,H280,J280,L280,N280,P280,R280,T280,V280,X280,Z280,AB280,AD280)</f>
        <v/>
      </c>
      <c r="AG280" s="8">
        <f>AE280+AF280</f>
        <v/>
      </c>
    </row>
    <row r="281">
      <c r="A281" s="10" t="n">
        <v>276</v>
      </c>
      <c r="B281" s="28" t="inlineStr">
        <is>
          <t>Alibey</t>
        </is>
      </c>
      <c r="C281" s="12" t="n">
        <v>5512.9</v>
      </c>
      <c r="D281" s="12" t="n"/>
      <c r="E281" s="12" t="n">
        <v>12817.6</v>
      </c>
      <c r="F281" s="12" t="n"/>
      <c r="G281" s="12" t="n"/>
      <c r="H281" s="12" t="n"/>
      <c r="I281" s="12" t="n"/>
      <c r="J281" s="12" t="n"/>
      <c r="K281" s="12" t="n"/>
      <c r="L281" s="12" t="n">
        <v>2</v>
      </c>
      <c r="M281" s="12" t="n"/>
      <c r="N281" s="12" t="n">
        <v>12788.304</v>
      </c>
      <c r="O281" s="12" t="n">
        <v>126.63</v>
      </c>
      <c r="P281" s="12" t="n"/>
      <c r="Q281" s="12" t="n"/>
      <c r="R281" s="12" t="n"/>
      <c r="S281" s="12" t="n"/>
      <c r="T281" s="12" t="n"/>
      <c r="U281" s="12" t="n"/>
      <c r="V281" s="12" t="n"/>
      <c r="W281" s="12" t="n"/>
      <c r="X281" s="12" t="n"/>
      <c r="Y281" s="12" t="n"/>
      <c r="Z281" s="12" t="n">
        <v>35</v>
      </c>
      <c r="AA281" s="12" t="n"/>
      <c r="AB281" s="12" t="n"/>
      <c r="AC281" s="12" t="n">
        <v>1</v>
      </c>
      <c r="AD281" s="12" t="n">
        <v>1</v>
      </c>
      <c r="AE281" s="13">
        <f>SUM(C281,E281,G281,I281,K281,M281,O281,Q281,S281,U281,W281,Y281,AA281,AC281)</f>
        <v/>
      </c>
      <c r="AF281" s="13">
        <f>SUM(D281,F281,H281,J281,L281,N281,P281,R281,T281,V281,X281,Z281,AB281,AD281)</f>
        <v/>
      </c>
      <c r="AG281" s="13">
        <f>AE281+AF281</f>
        <v/>
      </c>
    </row>
    <row r="282">
      <c r="A282" s="5" t="n">
        <v>277</v>
      </c>
      <c r="B282" s="27" t="inlineStr">
        <is>
          <t>Zile</t>
        </is>
      </c>
      <c r="C282" s="7" t="n">
        <v>17671.405</v>
      </c>
      <c r="D282" s="7" t="n">
        <v>844.89</v>
      </c>
      <c r="E282" s="7" t="n">
        <v>559.915</v>
      </c>
      <c r="F282" s="7" t="n">
        <v>6416.2</v>
      </c>
      <c r="G282" s="7" t="n">
        <v>576.9</v>
      </c>
      <c r="H282" s="7" t="n">
        <v>21.3</v>
      </c>
      <c r="I282" s="7" t="n"/>
      <c r="J282" s="7" t="n"/>
      <c r="K282" s="7" t="n"/>
      <c r="L282" s="7" t="n"/>
      <c r="M282" s="7" t="n"/>
      <c r="N282" s="7" t="n"/>
      <c r="O282" s="7" t="n"/>
      <c r="P282" s="7" t="n"/>
      <c r="Q282" s="7" t="n">
        <v>47.165</v>
      </c>
      <c r="R282" s="7" t="n">
        <v>126</v>
      </c>
      <c r="S282" s="7" t="n">
        <v>120.595</v>
      </c>
      <c r="T282" s="7" t="n">
        <v>451.7</v>
      </c>
      <c r="U282" s="7" t="n">
        <v>21.3</v>
      </c>
      <c r="V282" s="7" t="n">
        <v>594.564</v>
      </c>
      <c r="W282" s="7" t="n">
        <v>22.47</v>
      </c>
      <c r="X282" s="7" t="n">
        <v>465.35</v>
      </c>
      <c r="Y282" s="7" t="n">
        <v>0</v>
      </c>
      <c r="Z282" s="7" t="n">
        <v>316.25</v>
      </c>
      <c r="AA282" s="7" t="n">
        <v>107</v>
      </c>
      <c r="AB282" s="7" t="n">
        <v>408</v>
      </c>
      <c r="AC282" s="7" t="n">
        <v>237.71</v>
      </c>
      <c r="AD282" s="7" t="n">
        <v>2251.62</v>
      </c>
      <c r="AE282" s="8">
        <f>SUM(C282,E282,G282,I282,K282,M282,O282,Q282,S282,U282,W282,Y282,AA282,AC282)</f>
        <v/>
      </c>
      <c r="AF282" s="8">
        <f>SUM(D282,F282,H282,J282,L282,N282,P282,R282,T282,V282,X282,Z282,AB282,AD282)</f>
        <v/>
      </c>
      <c r="AG282" s="8">
        <f>AE282+AF282</f>
        <v/>
      </c>
    </row>
    <row r="283">
      <c r="A283" s="10" t="n">
        <v>278</v>
      </c>
      <c r="B283" s="28" t="inlineStr">
        <is>
          <t>Ovacık</t>
        </is>
      </c>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v>17284.3</v>
      </c>
      <c r="AB283" s="12" t="n">
        <v>8369.700000000001</v>
      </c>
      <c r="AC283" s="12" t="n"/>
      <c r="AD283" s="12" t="n"/>
      <c r="AE283" s="13">
        <f>SUM(C283,E283,G283,I283,K283,M283,O283,Q283,S283,U283,W283,Y283,AA283,AC283)</f>
        <v/>
      </c>
      <c r="AF283" s="13">
        <f>SUM(D283,F283,H283,J283,L283,N283,P283,R283,T283,V283,X283,Z283,AB283,AD283)</f>
        <v/>
      </c>
      <c r="AG283" s="13">
        <f>AE283+AF283</f>
        <v/>
      </c>
    </row>
    <row r="284">
      <c r="A284" s="5" t="n">
        <v>279</v>
      </c>
      <c r="B284" s="27" t="inlineStr">
        <is>
          <t>Mürşitpınarı</t>
        </is>
      </c>
      <c r="C284" s="7" t="n"/>
      <c r="D284" s="7" t="n">
        <v>862.2</v>
      </c>
      <c r="E284" s="7" t="n">
        <v>13431.5</v>
      </c>
      <c r="F284" s="7" t="n">
        <v>280</v>
      </c>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v>3557</v>
      </c>
      <c r="AD284" s="7" t="n">
        <v>7225</v>
      </c>
      <c r="AE284" s="8">
        <f>SUM(C284,E284,G284,I284,K284,M284,O284,Q284,S284,U284,W284,Y284,AA284,AC284)</f>
        <v/>
      </c>
      <c r="AF284" s="8">
        <f>SUM(D284,F284,H284,J284,L284,N284,P284,R284,T284,V284,X284,Z284,AB284,AD284)</f>
        <v/>
      </c>
      <c r="AG284" s="8">
        <f>AE284+AF284</f>
        <v/>
      </c>
    </row>
    <row r="285">
      <c r="A285" s="10" t="n">
        <v>280</v>
      </c>
      <c r="B285" s="28" t="inlineStr">
        <is>
          <t>Beydeğirmeni</t>
        </is>
      </c>
      <c r="C285" s="12" t="n">
        <v>12270.7</v>
      </c>
      <c r="D285" s="12" t="n">
        <v>12625.78</v>
      </c>
      <c r="E285" s="12" t="n"/>
      <c r="F285" s="12" t="n">
        <v>148</v>
      </c>
      <c r="G285" s="12" t="n"/>
      <c r="H285" s="12" t="n">
        <v>56</v>
      </c>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v>80</v>
      </c>
      <c r="AC285" s="12" t="n"/>
      <c r="AD285" s="12" t="n"/>
      <c r="AE285" s="13">
        <f>SUM(C285,E285,G285,I285,K285,M285,O285,Q285,S285,U285,W285,Y285,AA285,AC285)</f>
        <v/>
      </c>
      <c r="AF285" s="13">
        <f>SUM(D285,F285,H285,J285,L285,N285,P285,R285,T285,V285,X285,Z285,AB285,AD285)</f>
        <v/>
      </c>
      <c r="AG285" s="13">
        <f>AE285+AF285</f>
        <v/>
      </c>
    </row>
    <row r="286">
      <c r="A286" s="5" t="n">
        <v>281</v>
      </c>
      <c r="B286" s="27" t="inlineStr">
        <is>
          <t>Yenifakılı</t>
        </is>
      </c>
      <c r="C286" s="7" t="n">
        <v>544.1900000000001</v>
      </c>
      <c r="D286" s="7" t="n">
        <v>21083.085</v>
      </c>
      <c r="E286" s="7" t="n">
        <v>5</v>
      </c>
      <c r="F286" s="7" t="n">
        <v>189</v>
      </c>
      <c r="G286" s="7" t="n">
        <v>345</v>
      </c>
      <c r="H286" s="7" t="n">
        <v>388.5</v>
      </c>
      <c r="I286" s="7" t="n">
        <v>284.55</v>
      </c>
      <c r="J286" s="7" t="n">
        <v>601.8099999999999</v>
      </c>
      <c r="K286" s="7" t="n">
        <v>23</v>
      </c>
      <c r="L286" s="7" t="n">
        <v>319.5</v>
      </c>
      <c r="M286" s="7" t="n">
        <v>57</v>
      </c>
      <c r="N286" s="7" t="n">
        <v>2</v>
      </c>
      <c r="O286" s="7" t="n"/>
      <c r="P286" s="7" t="n"/>
      <c r="Q286" s="7" t="n"/>
      <c r="R286" s="7" t="n"/>
      <c r="S286" s="7" t="n"/>
      <c r="T286" s="7" t="n"/>
      <c r="U286" s="7" t="n"/>
      <c r="V286" s="7" t="n">
        <v>69.98999999999999</v>
      </c>
      <c r="W286" s="7" t="n"/>
      <c r="X286" s="7" t="n"/>
      <c r="Y286" s="7" t="n"/>
      <c r="Z286" s="7" t="n">
        <v>34.74</v>
      </c>
      <c r="AA286" s="7" t="n"/>
      <c r="AB286" s="7" t="n">
        <v>50</v>
      </c>
      <c r="AC286" s="7" t="n">
        <v>75</v>
      </c>
      <c r="AD286" s="7" t="n">
        <v>109.74</v>
      </c>
      <c r="AE286" s="8">
        <f>SUM(C286,E286,G286,I286,K286,M286,O286,Q286,S286,U286,W286,Y286,AA286,AC286)</f>
        <v/>
      </c>
      <c r="AF286" s="8">
        <f>SUM(D286,F286,H286,J286,L286,N286,P286,R286,T286,V286,X286,Z286,AB286,AD286)</f>
        <v/>
      </c>
      <c r="AG286" s="8">
        <f>AE286+AF286</f>
        <v/>
      </c>
    </row>
    <row r="287">
      <c r="A287" s="10" t="n">
        <v>282</v>
      </c>
      <c r="B287" s="28" t="inlineStr">
        <is>
          <t>Salihli</t>
        </is>
      </c>
      <c r="C287" s="12" t="n">
        <v>2595.31</v>
      </c>
      <c r="D287" s="12" t="n">
        <v>2225.225</v>
      </c>
      <c r="E287" s="12" t="n">
        <v>5630.428</v>
      </c>
      <c r="F287" s="12" t="n">
        <v>4363.55</v>
      </c>
      <c r="G287" s="12" t="n">
        <v>420</v>
      </c>
      <c r="H287" s="12" t="n">
        <v>1780.1</v>
      </c>
      <c r="I287" s="12" t="n">
        <v>3452.51</v>
      </c>
      <c r="J287" s="12" t="n">
        <v>432.5</v>
      </c>
      <c r="K287" s="12" t="n">
        <v>684.7</v>
      </c>
      <c r="L287" s="12" t="n">
        <v>271.82</v>
      </c>
      <c r="M287" s="12" t="n"/>
      <c r="N287" s="12" t="n">
        <v>565.015</v>
      </c>
      <c r="O287" s="12" t="n"/>
      <c r="P287" s="12" t="n">
        <v>38</v>
      </c>
      <c r="Q287" s="12" t="n"/>
      <c r="R287" s="12" t="n"/>
      <c r="S287" s="12" t="n">
        <v>40</v>
      </c>
      <c r="T287" s="12" t="n">
        <v>40</v>
      </c>
      <c r="U287" s="12" t="n">
        <v>99.48</v>
      </c>
      <c r="V287" s="12" t="n">
        <v>134</v>
      </c>
      <c r="W287" s="12" t="n"/>
      <c r="X287" s="12" t="n">
        <v>76.8</v>
      </c>
      <c r="Y287" s="12" t="n"/>
      <c r="Z287" s="12" t="n">
        <v>52.74</v>
      </c>
      <c r="AA287" s="12" t="n">
        <v>34.74</v>
      </c>
      <c r="AB287" s="12" t="n"/>
      <c r="AC287" s="12" t="n">
        <v>186.16</v>
      </c>
      <c r="AD287" s="12" t="n">
        <v>10</v>
      </c>
      <c r="AE287" s="13">
        <f>SUM(C287,E287,G287,I287,K287,M287,O287,Q287,S287,U287,W287,Y287,AA287,AC287)</f>
        <v/>
      </c>
      <c r="AF287" s="13">
        <f>SUM(D287,F287,H287,J287,L287,N287,P287,R287,T287,V287,X287,Z287,AB287,AD287)</f>
        <v/>
      </c>
      <c r="AG287" s="13">
        <f>AE287+AF287</f>
        <v/>
      </c>
    </row>
    <row r="288">
      <c r="A288" s="5" t="n">
        <v>283</v>
      </c>
      <c r="B288" s="27" t="inlineStr">
        <is>
          <t>Tire</t>
        </is>
      </c>
      <c r="C288" s="7" t="n"/>
      <c r="D288" s="7" t="n"/>
      <c r="E288" s="7" t="n"/>
      <c r="F288" s="7" t="n"/>
      <c r="G288" s="7" t="n"/>
      <c r="H288" s="7" t="n">
        <v>80</v>
      </c>
      <c r="I288" s="7" t="n"/>
      <c r="J288" s="7" t="n">
        <v>1558.5</v>
      </c>
      <c r="K288" s="7" t="n">
        <v>11074.58</v>
      </c>
      <c r="L288" s="7" t="n">
        <v>5575.46</v>
      </c>
      <c r="M288" s="7" t="n">
        <v>491.872</v>
      </c>
      <c r="N288" s="7" t="n">
        <v>1213.208</v>
      </c>
      <c r="O288" s="7" t="n"/>
      <c r="P288" s="7" t="n">
        <v>285</v>
      </c>
      <c r="Q288" s="7" t="n"/>
      <c r="R288" s="7" t="n">
        <v>1008</v>
      </c>
      <c r="S288" s="7" t="n"/>
      <c r="T288" s="7" t="n">
        <v>14.1</v>
      </c>
      <c r="U288" s="7" t="n"/>
      <c r="V288" s="7" t="n"/>
      <c r="W288" s="7" t="n"/>
      <c r="X288" s="7" t="n"/>
      <c r="Y288" s="7" t="n"/>
      <c r="Z288" s="7" t="n">
        <v>170</v>
      </c>
      <c r="AA288" s="7" t="n">
        <v>30</v>
      </c>
      <c r="AB288" s="7" t="n">
        <v>404.9</v>
      </c>
      <c r="AC288" s="7" t="n">
        <v>12</v>
      </c>
      <c r="AD288" s="7" t="n"/>
      <c r="AE288" s="8">
        <f>SUM(C288,E288,G288,I288,K288,M288,O288,Q288,S288,U288,W288,Y288,AA288,AC288)</f>
        <v/>
      </c>
      <c r="AF288" s="8">
        <f>SUM(D288,F288,H288,J288,L288,N288,P288,R288,T288,V288,X288,Z288,AB288,AD288)</f>
        <v/>
      </c>
      <c r="AG288" s="8">
        <f>AE288+AF288</f>
        <v/>
      </c>
    </row>
    <row r="289">
      <c r="A289" s="10" t="n">
        <v>284</v>
      </c>
      <c r="B289" s="28" t="inlineStr">
        <is>
          <t>Çiğiltepe</t>
        </is>
      </c>
      <c r="C289" s="12" t="n"/>
      <c r="D289" s="12" t="n"/>
      <c r="E289" s="12" t="n"/>
      <c r="F289" s="12" t="n"/>
      <c r="G289" s="12" t="n"/>
      <c r="H289" s="12" t="n"/>
      <c r="I289" s="12" t="n"/>
      <c r="J289" s="12" t="n">
        <v>21663</v>
      </c>
      <c r="K289" s="12" t="n"/>
      <c r="L289" s="12" t="n">
        <v>90</v>
      </c>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3">
        <f>SUM(C289,E289,G289,I289,K289,M289,O289,Q289,S289,U289,W289,Y289,AA289,AC289)</f>
        <v/>
      </c>
      <c r="AF289" s="13">
        <f>SUM(D289,F289,H289,J289,L289,N289,P289,R289,T289,V289,X289,Z289,AB289,AD289)</f>
        <v/>
      </c>
      <c r="AG289" s="13">
        <f>AE289+AF289</f>
        <v/>
      </c>
    </row>
    <row r="290">
      <c r="A290" s="5" t="n">
        <v>285</v>
      </c>
      <c r="B290" s="27" t="inlineStr">
        <is>
          <t>Hanlı</t>
        </is>
      </c>
      <c r="C290" s="7" t="n"/>
      <c r="D290" s="7" t="n"/>
      <c r="E290" s="7" t="n"/>
      <c r="F290" s="7" t="n"/>
      <c r="G290" s="7" t="n"/>
      <c r="H290" s="7" t="n"/>
      <c r="I290" s="7" t="n"/>
      <c r="J290" s="7" t="n">
        <v>1221.6</v>
      </c>
      <c r="K290" s="7" t="n">
        <v>295.04</v>
      </c>
      <c r="L290" s="7" t="n"/>
      <c r="M290" s="7" t="n">
        <v>550.47</v>
      </c>
      <c r="N290" s="7" t="n">
        <v>15949.82</v>
      </c>
      <c r="O290" s="7" t="n">
        <v>440.365</v>
      </c>
      <c r="P290" s="7" t="n"/>
      <c r="Q290" s="7" t="n">
        <v>20</v>
      </c>
      <c r="R290" s="7" t="n"/>
      <c r="S290" s="7" t="n"/>
      <c r="T290" s="7" t="n"/>
      <c r="U290" s="7" t="n"/>
      <c r="V290" s="7" t="n"/>
      <c r="W290" s="7" t="n">
        <v>45.67</v>
      </c>
      <c r="X290" s="7" t="n"/>
      <c r="Y290" s="7" t="n"/>
      <c r="Z290" s="7" t="n"/>
      <c r="AA290" s="7" t="n"/>
      <c r="AB290" s="7" t="n">
        <v>2952.44</v>
      </c>
      <c r="AC290" s="7" t="n">
        <v>2</v>
      </c>
      <c r="AD290" s="7" t="n">
        <v>2</v>
      </c>
      <c r="AE290" s="8">
        <f>SUM(C290,E290,G290,I290,K290,M290,O290,Q290,S290,U290,W290,Y290,AA290,AC290)</f>
        <v/>
      </c>
      <c r="AF290" s="8">
        <f>SUM(D290,F290,H290,J290,L290,N290,P290,R290,T290,V290,X290,Z290,AB290,AD290)</f>
        <v/>
      </c>
      <c r="AG290" s="8">
        <f>AE290+AF290</f>
        <v/>
      </c>
    </row>
    <row r="291">
      <c r="A291" s="10" t="n">
        <v>286</v>
      </c>
      <c r="B291" s="28" t="inlineStr">
        <is>
          <t>Balmahmut</t>
        </is>
      </c>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v>12385.252</v>
      </c>
      <c r="X291" s="12" t="n">
        <v>6335.625</v>
      </c>
      <c r="Y291" s="12" t="n">
        <v>1132.255</v>
      </c>
      <c r="Z291" s="12" t="n">
        <v>651.15</v>
      </c>
      <c r="AA291" s="12" t="n"/>
      <c r="AB291" s="12" t="n"/>
      <c r="AC291" s="12" t="n"/>
      <c r="AD291" s="12" t="n"/>
      <c r="AE291" s="13">
        <f>SUM(C291,E291,G291,I291,K291,M291,O291,Q291,S291,U291,W291,Y291,AA291,AC291)</f>
        <v/>
      </c>
      <c r="AF291" s="13">
        <f>SUM(D291,F291,H291,J291,L291,N291,P291,R291,T291,V291,X291,Z291,AB291,AD291)</f>
        <v/>
      </c>
      <c r="AG291" s="13">
        <f>AE291+AF291</f>
        <v/>
      </c>
    </row>
    <row r="292">
      <c r="A292" s="5" t="n">
        <v>287</v>
      </c>
      <c r="B292" s="27" t="inlineStr">
        <is>
          <t>Nazilli</t>
        </is>
      </c>
      <c r="C292" s="7" t="n">
        <v>1980.277</v>
      </c>
      <c r="D292" s="7" t="n">
        <v>152.2</v>
      </c>
      <c r="E292" s="7" t="n">
        <v>3004.191</v>
      </c>
      <c r="F292" s="7" t="n">
        <v>606</v>
      </c>
      <c r="G292" s="7" t="n">
        <v>1392.828</v>
      </c>
      <c r="H292" s="7" t="n">
        <v>262</v>
      </c>
      <c r="I292" s="7" t="n">
        <v>1652.03</v>
      </c>
      <c r="J292" s="7" t="n"/>
      <c r="K292" s="7" t="n">
        <v>1457.4</v>
      </c>
      <c r="L292" s="7" t="n">
        <v>56.91</v>
      </c>
      <c r="M292" s="7" t="n">
        <v>1686.38</v>
      </c>
      <c r="N292" s="7" t="n">
        <v>49.91</v>
      </c>
      <c r="O292" s="7" t="n">
        <v>94.09699999999999</v>
      </c>
      <c r="P292" s="7" t="n">
        <v>49.82</v>
      </c>
      <c r="Q292" s="7" t="n">
        <v>708.734</v>
      </c>
      <c r="R292" s="7" t="n">
        <v>309.31</v>
      </c>
      <c r="S292" s="7" t="n">
        <v>316.046</v>
      </c>
      <c r="T292" s="7" t="n">
        <v>699.125</v>
      </c>
      <c r="U292" s="7" t="n">
        <v>1399.625</v>
      </c>
      <c r="V292" s="7" t="n"/>
      <c r="W292" s="7" t="n">
        <v>997.5839999999999</v>
      </c>
      <c r="X292" s="7" t="n">
        <v>213.8</v>
      </c>
      <c r="Y292" s="7" t="n">
        <v>812.873</v>
      </c>
      <c r="Z292" s="7" t="n">
        <v>81.98</v>
      </c>
      <c r="AA292" s="7" t="n">
        <v>1013.615</v>
      </c>
      <c r="AB292" s="7" t="n">
        <v>102.68</v>
      </c>
      <c r="AC292" s="7" t="n">
        <v>403.027</v>
      </c>
      <c r="AD292" s="7" t="n">
        <v>24.91</v>
      </c>
      <c r="AE292" s="8">
        <f>SUM(C292,E292,G292,I292,K292,M292,O292,Q292,S292,U292,W292,Y292,AA292,AC292)</f>
        <v/>
      </c>
      <c r="AF292" s="8">
        <f>SUM(D292,F292,H292,J292,L292,N292,P292,R292,T292,V292,X292,Z292,AB292,AD292)</f>
        <v/>
      </c>
      <c r="AG292" s="8">
        <f>AE292+AF292</f>
        <v/>
      </c>
    </row>
    <row r="293">
      <c r="A293" s="10" t="n">
        <v>288</v>
      </c>
      <c r="B293" s="28" t="inlineStr">
        <is>
          <t>Etimesgut</t>
        </is>
      </c>
      <c r="C293" s="12" t="n">
        <v>3426.6</v>
      </c>
      <c r="D293" s="12" t="n">
        <v>302.6</v>
      </c>
      <c r="E293" s="12" t="n">
        <v>570.9589999999999</v>
      </c>
      <c r="F293" s="12" t="n">
        <v>384.34</v>
      </c>
      <c r="G293" s="12" t="n">
        <v>2011.985</v>
      </c>
      <c r="H293" s="12" t="n">
        <v>374.004</v>
      </c>
      <c r="I293" s="12" t="n">
        <v>3138.931</v>
      </c>
      <c r="J293" s="12" t="n">
        <v>8720.35</v>
      </c>
      <c r="K293" s="12" t="n"/>
      <c r="L293" s="12" t="n"/>
      <c r="M293" s="12" t="n"/>
      <c r="N293" s="12" t="n">
        <v>1.5</v>
      </c>
      <c r="O293" s="12" t="n"/>
      <c r="P293" s="12" t="n"/>
      <c r="Q293" s="12" t="n"/>
      <c r="R293" s="12" t="n">
        <v>6.641</v>
      </c>
      <c r="S293" s="12" t="n"/>
      <c r="T293" s="12" t="n">
        <v>72</v>
      </c>
      <c r="U293" s="12" t="n"/>
      <c r="V293" s="12" t="n">
        <v>61.8</v>
      </c>
      <c r="W293" s="12" t="n"/>
      <c r="X293" s="12" t="n">
        <v>11</v>
      </c>
      <c r="Y293" s="12" t="n"/>
      <c r="Z293" s="12" t="n">
        <v>78.64</v>
      </c>
      <c r="AA293" s="12" t="n"/>
      <c r="AB293" s="12" t="n"/>
      <c r="AC293" s="12" t="n"/>
      <c r="AD293" s="12" t="n">
        <v>15</v>
      </c>
      <c r="AE293" s="13">
        <f>SUM(C293,E293,G293,I293,K293,M293,O293,Q293,S293,U293,W293,Y293,AA293,AC293)</f>
        <v/>
      </c>
      <c r="AF293" s="13">
        <f>SUM(D293,F293,H293,J293,L293,N293,P293,R293,T293,V293,X293,Z293,AB293,AD293)</f>
        <v/>
      </c>
      <c r="AG293" s="13">
        <f>AE293+AF293</f>
        <v/>
      </c>
    </row>
    <row r="294">
      <c r="A294" s="5" t="n">
        <v>289</v>
      </c>
      <c r="B294" s="27" t="inlineStr">
        <is>
          <t>Kalecik</t>
        </is>
      </c>
      <c r="C294" s="7" t="n"/>
      <c r="D294" s="7" t="n"/>
      <c r="E294" s="7" t="n"/>
      <c r="F294" s="7" t="n"/>
      <c r="G294" s="7" t="n"/>
      <c r="H294" s="7" t="n"/>
      <c r="I294" s="7" t="n"/>
      <c r="J294" s="7" t="n"/>
      <c r="K294" s="7" t="n"/>
      <c r="L294" s="7" t="n"/>
      <c r="M294" s="7" t="n">
        <v>1828</v>
      </c>
      <c r="N294" s="7" t="n">
        <v>9734.4</v>
      </c>
      <c r="O294" s="7" t="n">
        <v>21.105</v>
      </c>
      <c r="P294" s="7" t="n">
        <v>5593.2</v>
      </c>
      <c r="Q294" s="7" t="n"/>
      <c r="R294" s="7" t="n"/>
      <c r="S294" s="7" t="n"/>
      <c r="T294" s="7" t="n"/>
      <c r="U294" s="7" t="n"/>
      <c r="V294" s="7" t="n"/>
      <c r="W294" s="7" t="n"/>
      <c r="X294" s="7" t="n"/>
      <c r="Y294" s="7" t="n"/>
      <c r="Z294" s="7" t="n"/>
      <c r="AA294" s="7" t="n">
        <v>975</v>
      </c>
      <c r="AB294" s="7" t="n">
        <v>475.025</v>
      </c>
      <c r="AC294" s="7" t="n">
        <v>15.825</v>
      </c>
      <c r="AD294" s="7" t="n">
        <v>252</v>
      </c>
      <c r="AE294" s="8">
        <f>SUM(C294,E294,G294,I294,K294,M294,O294,Q294,S294,U294,W294,Y294,AA294,AC294)</f>
        <v/>
      </c>
      <c r="AF294" s="8">
        <f>SUM(D294,F294,H294,J294,L294,N294,P294,R294,T294,V294,X294,Z294,AB294,AD294)</f>
        <v/>
      </c>
      <c r="AG294" s="8">
        <f>AE294+AF294</f>
        <v/>
      </c>
    </row>
    <row r="295">
      <c r="A295" s="10" t="n">
        <v>290</v>
      </c>
      <c r="B295" s="28" t="inlineStr">
        <is>
          <t>Havza</t>
        </is>
      </c>
      <c r="C295" s="12" t="n">
        <v>6523.02</v>
      </c>
      <c r="D295" s="12" t="n">
        <v>5899.11</v>
      </c>
      <c r="E295" s="12" t="n">
        <v>1221.86</v>
      </c>
      <c r="F295" s="12" t="n">
        <v>548</v>
      </c>
      <c r="G295" s="12" t="n"/>
      <c r="H295" s="12" t="n">
        <v>130</v>
      </c>
      <c r="I295" s="12" t="n"/>
      <c r="J295" s="12" t="n"/>
      <c r="K295" s="12" t="n"/>
      <c r="L295" s="12" t="n"/>
      <c r="M295" s="12" t="n"/>
      <c r="N295" s="12" t="n"/>
      <c r="O295" s="12" t="n"/>
      <c r="P295" s="12" t="n"/>
      <c r="Q295" s="12" t="n"/>
      <c r="R295" s="12" t="n"/>
      <c r="S295" s="12" t="n"/>
      <c r="T295" s="12" t="n">
        <v>46.74</v>
      </c>
      <c r="U295" s="12" t="n"/>
      <c r="V295" s="12" t="n"/>
      <c r="W295" s="12" t="n"/>
      <c r="X295" s="12" t="n"/>
      <c r="Y295" s="12" t="n"/>
      <c r="Z295" s="12" t="n">
        <v>110.5</v>
      </c>
      <c r="AA295" s="12" t="n"/>
      <c r="AB295" s="12" t="n">
        <v>688</v>
      </c>
      <c r="AC295" s="12" t="n">
        <v>8</v>
      </c>
      <c r="AD295" s="12" t="n">
        <v>1100</v>
      </c>
      <c r="AE295" s="13">
        <f>SUM(C295,E295,G295,I295,K295,M295,O295,Q295,S295,U295,W295,Y295,AA295,AC295)</f>
        <v/>
      </c>
      <c r="AF295" s="13">
        <f>SUM(D295,F295,H295,J295,L295,N295,P295,R295,T295,V295,X295,Z295,AB295,AD295)</f>
        <v/>
      </c>
      <c r="AG295" s="13">
        <f>AE295+AF295</f>
        <v/>
      </c>
    </row>
    <row r="296">
      <c r="A296" s="5" t="n">
        <v>291</v>
      </c>
      <c r="B296" s="27" t="inlineStr">
        <is>
          <t>Uzunahmet</t>
        </is>
      </c>
      <c r="C296" s="7" t="n"/>
      <c r="D296" s="7" t="n"/>
      <c r="E296" s="7" t="n"/>
      <c r="F296" s="7" t="n">
        <v>6</v>
      </c>
      <c r="G296" s="7" t="n"/>
      <c r="H296" s="7" t="n">
        <v>13586.1</v>
      </c>
      <c r="I296" s="7" t="n"/>
      <c r="J296" s="7" t="n">
        <v>23</v>
      </c>
      <c r="K296" s="7" t="n"/>
      <c r="L296" s="7" t="n"/>
      <c r="M296" s="7" t="n"/>
      <c r="N296" s="7" t="n">
        <v>14.57</v>
      </c>
      <c r="O296" s="7" t="n">
        <v>320</v>
      </c>
      <c r="P296" s="7" t="n">
        <v>360</v>
      </c>
      <c r="Q296" s="7" t="n"/>
      <c r="R296" s="7" t="n"/>
      <c r="S296" s="7" t="n"/>
      <c r="T296" s="7" t="n"/>
      <c r="U296" s="7" t="n"/>
      <c r="V296" s="7" t="n"/>
      <c r="W296" s="7" t="n"/>
      <c r="X296" s="7" t="n"/>
      <c r="Y296" s="7" t="n"/>
      <c r="Z296" s="7" t="n"/>
      <c r="AA296" s="7" t="n">
        <v>23</v>
      </c>
      <c r="AB296" s="7" t="n">
        <v>461</v>
      </c>
      <c r="AC296" s="7" t="n"/>
      <c r="AD296" s="7" t="n"/>
      <c r="AE296" s="8">
        <f>SUM(C296,E296,G296,I296,K296,M296,O296,Q296,S296,U296,W296,Y296,AA296,AC296)</f>
        <v/>
      </c>
      <c r="AF296" s="8">
        <f>SUM(D296,F296,H296,J296,L296,N296,P296,R296,T296,V296,X296,Z296,AB296,AD296)</f>
        <v/>
      </c>
      <c r="AG296" s="8">
        <f>AE296+AF296</f>
        <v/>
      </c>
    </row>
    <row r="297">
      <c r="A297" s="10" t="n">
        <v>292</v>
      </c>
      <c r="B297" s="28" t="inlineStr">
        <is>
          <t>Eriç</t>
        </is>
      </c>
      <c r="C297" s="12" t="n"/>
      <c r="D297" s="12" t="n">
        <v>12051.2</v>
      </c>
      <c r="E297" s="12" t="n">
        <v>1487.97</v>
      </c>
      <c r="F297" s="12" t="n">
        <v>50</v>
      </c>
      <c r="G297" s="12" t="n">
        <v>300</v>
      </c>
      <c r="H297" s="12" t="n">
        <v>17.5</v>
      </c>
      <c r="I297" s="12" t="n"/>
      <c r="J297" s="12" t="n"/>
      <c r="K297" s="12" t="n"/>
      <c r="L297" s="12" t="n"/>
      <c r="M297" s="12" t="n">
        <v>87.56999999999999</v>
      </c>
      <c r="N297" s="12" t="n">
        <v>775.745</v>
      </c>
      <c r="O297" s="12" t="n"/>
      <c r="P297" s="12" t="n"/>
      <c r="Q297" s="12" t="n"/>
      <c r="R297" s="12" t="n">
        <v>0</v>
      </c>
      <c r="S297" s="12" t="n"/>
      <c r="T297" s="12" t="n"/>
      <c r="U297" s="12" t="n"/>
      <c r="V297" s="12" t="n"/>
      <c r="W297" s="12" t="n"/>
      <c r="X297" s="12" t="n"/>
      <c r="Y297" s="12" t="n"/>
      <c r="Z297" s="12" t="n"/>
      <c r="AA297" s="12" t="n"/>
      <c r="AB297" s="12" t="n"/>
      <c r="AC297" s="12" t="n"/>
      <c r="AD297" s="12" t="n"/>
      <c r="AE297" s="13">
        <f>SUM(C297,E297,G297,I297,K297,M297,O297,Q297,S297,U297,W297,Y297,AA297,AC297)</f>
        <v/>
      </c>
      <c r="AF297" s="13">
        <f>SUM(D297,F297,H297,J297,L297,N297,P297,R297,T297,V297,X297,Z297,AB297,AD297)</f>
        <v/>
      </c>
      <c r="AG297" s="13">
        <f>AE297+AF297</f>
        <v/>
      </c>
    </row>
    <row r="298">
      <c r="A298" s="5" t="n">
        <v>293</v>
      </c>
      <c r="B298" s="27" t="inlineStr">
        <is>
          <t>Kandilli</t>
        </is>
      </c>
      <c r="C298" s="7" t="n">
        <v>32</v>
      </c>
      <c r="D298" s="7" t="n">
        <v>30</v>
      </c>
      <c r="E298" s="7" t="n">
        <v>0</v>
      </c>
      <c r="F298" s="7" t="n">
        <v>4158</v>
      </c>
      <c r="G298" s="7" t="n">
        <v>469.26</v>
      </c>
      <c r="H298" s="7" t="n">
        <v>4062.2</v>
      </c>
      <c r="I298" s="7" t="n">
        <v>1050.49</v>
      </c>
      <c r="J298" s="7" t="n">
        <v>2876.1</v>
      </c>
      <c r="K298" s="7" t="n"/>
      <c r="L298" s="7" t="n"/>
      <c r="M298" s="7" t="n">
        <v>446.965</v>
      </c>
      <c r="N298" s="7" t="n">
        <v>863.87</v>
      </c>
      <c r="O298" s="7" t="n"/>
      <c r="P298" s="7" t="n">
        <v>100</v>
      </c>
      <c r="Q298" s="7" t="n"/>
      <c r="R298" s="7" t="n"/>
      <c r="S298" s="7" t="n"/>
      <c r="T298" s="7" t="n"/>
      <c r="U298" s="7" t="n"/>
      <c r="V298" s="7" t="n"/>
      <c r="W298" s="7" t="n"/>
      <c r="X298" s="7" t="n"/>
      <c r="Y298" s="7" t="n"/>
      <c r="Z298" s="7" t="n"/>
      <c r="AA298" s="7" t="n">
        <v>11</v>
      </c>
      <c r="AB298" s="7" t="n">
        <v>11</v>
      </c>
      <c r="AC298" s="7" t="n"/>
      <c r="AD298" s="7" t="n"/>
      <c r="AE298" s="8">
        <f>SUM(C298,E298,G298,I298,K298,M298,O298,Q298,S298,U298,W298,Y298,AA298,AC298)</f>
        <v/>
      </c>
      <c r="AF298" s="8">
        <f>SUM(D298,F298,H298,J298,L298,N298,P298,R298,T298,V298,X298,Z298,AB298,AD298)</f>
        <v/>
      </c>
      <c r="AG298" s="8">
        <f>AE298+AF298</f>
        <v/>
      </c>
    </row>
    <row r="299">
      <c r="A299" s="10" t="n">
        <v>294</v>
      </c>
      <c r="B299" s="28" t="inlineStr">
        <is>
          <t>Uzunköprü</t>
        </is>
      </c>
      <c r="C299" s="12" t="n"/>
      <c r="D299" s="12" t="n">
        <v>191.899</v>
      </c>
      <c r="E299" s="12" t="n"/>
      <c r="F299" s="12" t="n">
        <v>3701.74</v>
      </c>
      <c r="G299" s="12" t="n">
        <v>418.583</v>
      </c>
      <c r="H299" s="12" t="n">
        <v>864.123</v>
      </c>
      <c r="I299" s="12" t="n">
        <v>947.962</v>
      </c>
      <c r="J299" s="12" t="n">
        <v>1713.453</v>
      </c>
      <c r="K299" s="12" t="n">
        <v>109.7</v>
      </c>
      <c r="L299" s="12" t="n">
        <v>443.239</v>
      </c>
      <c r="M299" s="12" t="n"/>
      <c r="N299" s="12" t="n">
        <v>38</v>
      </c>
      <c r="O299" s="12" t="n">
        <v>55.55</v>
      </c>
      <c r="P299" s="12" t="n">
        <v>101.49</v>
      </c>
      <c r="Q299" s="12" t="n">
        <v>111.605</v>
      </c>
      <c r="R299" s="12" t="n">
        <v>1050.5</v>
      </c>
      <c r="S299" s="12" t="n">
        <v>185.5</v>
      </c>
      <c r="T299" s="12" t="n">
        <v>328.5</v>
      </c>
      <c r="U299" s="12" t="n"/>
      <c r="V299" s="12" t="n">
        <v>60</v>
      </c>
      <c r="W299" s="12" t="n"/>
      <c r="X299" s="12" t="n">
        <v>118.72</v>
      </c>
      <c r="Y299" s="12" t="n">
        <v>20</v>
      </c>
      <c r="Z299" s="12" t="n">
        <v>2657.5</v>
      </c>
      <c r="AA299" s="12" t="n"/>
      <c r="AB299" s="12" t="n">
        <v>295.7</v>
      </c>
      <c r="AC299" s="12" t="n"/>
      <c r="AD299" s="12" t="n"/>
      <c r="AE299" s="13">
        <f>SUM(C299,E299,G299,I299,K299,M299,O299,Q299,S299,U299,W299,Y299,AA299,AC299)</f>
        <v/>
      </c>
      <c r="AF299" s="13">
        <f>SUM(D299,F299,H299,J299,L299,N299,P299,R299,T299,V299,X299,Z299,AB299,AD299)</f>
        <v/>
      </c>
      <c r="AG299" s="13">
        <f>AE299+AF299</f>
        <v/>
      </c>
    </row>
    <row r="300">
      <c r="A300" s="5" t="n">
        <v>295</v>
      </c>
      <c r="B300" s="27" t="inlineStr">
        <is>
          <t>Alpu</t>
        </is>
      </c>
      <c r="C300" s="7" t="n">
        <v>3668.5</v>
      </c>
      <c r="D300" s="7" t="n">
        <v>279.5</v>
      </c>
      <c r="E300" s="7" t="n">
        <v>42.41</v>
      </c>
      <c r="F300" s="7" t="n">
        <v>882.5</v>
      </c>
      <c r="G300" s="7" t="n">
        <v>368.28</v>
      </c>
      <c r="H300" s="7" t="n">
        <v>105</v>
      </c>
      <c r="I300" s="7" t="n">
        <v>114.91</v>
      </c>
      <c r="J300" s="7" t="n">
        <v>324.16</v>
      </c>
      <c r="K300" s="7" t="n">
        <v>211.88</v>
      </c>
      <c r="L300" s="7" t="n">
        <v>126.61</v>
      </c>
      <c r="M300" s="7" t="n">
        <v>709.8200000000001</v>
      </c>
      <c r="N300" s="7" t="n">
        <v>387.325</v>
      </c>
      <c r="O300" s="7" t="n">
        <v>482.425</v>
      </c>
      <c r="P300" s="7" t="n">
        <v>463.58</v>
      </c>
      <c r="Q300" s="7" t="n">
        <v>556.16</v>
      </c>
      <c r="R300" s="7" t="n">
        <v>279.735</v>
      </c>
      <c r="S300" s="7" t="n">
        <v>124.91</v>
      </c>
      <c r="T300" s="7" t="n">
        <v>63</v>
      </c>
      <c r="U300" s="7" t="n"/>
      <c r="V300" s="7" t="n">
        <v>41.74</v>
      </c>
      <c r="W300" s="7" t="n"/>
      <c r="X300" s="7" t="n">
        <v>70.48</v>
      </c>
      <c r="Y300" s="7" t="n">
        <v>342.945</v>
      </c>
      <c r="Z300" s="7" t="n">
        <v>2</v>
      </c>
      <c r="AA300" s="7" t="n"/>
      <c r="AB300" s="7" t="n">
        <v>58.74</v>
      </c>
      <c r="AC300" s="7" t="n">
        <v>45</v>
      </c>
      <c r="AD300" s="7" t="n">
        <v>1125</v>
      </c>
      <c r="AE300" s="8">
        <f>SUM(C300,E300,G300,I300,K300,M300,O300,Q300,S300,U300,W300,Y300,AA300,AC300)</f>
        <v/>
      </c>
      <c r="AF300" s="8">
        <f>SUM(D300,F300,H300,J300,L300,N300,P300,R300,T300,V300,X300,Z300,AB300,AD300)</f>
        <v/>
      </c>
      <c r="AG300" s="8">
        <f>AE300+AF300</f>
        <v/>
      </c>
    </row>
    <row r="301">
      <c r="A301" s="10" t="n">
        <v>296</v>
      </c>
      <c r="B301" s="28" t="inlineStr">
        <is>
          <t>Bedirli</t>
        </is>
      </c>
      <c r="C301" s="12" t="n"/>
      <c r="D301" s="12" t="n"/>
      <c r="E301" s="12" t="n"/>
      <c r="F301" s="12" t="n">
        <v>357</v>
      </c>
      <c r="G301" s="12" t="n"/>
      <c r="H301" s="12" t="n">
        <v>9442.139999999999</v>
      </c>
      <c r="I301" s="12" t="n">
        <v>315</v>
      </c>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3">
        <f>SUM(C301,E301,G301,I301,K301,M301,O301,Q301,S301,U301,W301,Y301,AA301,AC301)</f>
        <v/>
      </c>
      <c r="AF301" s="13">
        <f>SUM(D301,F301,H301,J301,L301,N301,P301,R301,T301,V301,X301,Z301,AB301,AD301)</f>
        <v/>
      </c>
      <c r="AG301" s="13">
        <f>AE301+AF301</f>
        <v/>
      </c>
    </row>
    <row r="302">
      <c r="A302" s="5" t="n">
        <v>297</v>
      </c>
      <c r="B302" s="27" t="inlineStr">
        <is>
          <t>Şenyurt</t>
        </is>
      </c>
      <c r="C302" s="7" t="n">
        <v>70</v>
      </c>
      <c r="D302" s="7" t="n">
        <v>2173.2</v>
      </c>
      <c r="E302" s="7" t="n">
        <v>90</v>
      </c>
      <c r="F302" s="7" t="n">
        <v>6164.4</v>
      </c>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c r="AC302" s="7" t="n"/>
      <c r="AD302" s="7" t="n">
        <v>1051.4</v>
      </c>
      <c r="AE302" s="8">
        <f>SUM(C302,E302,G302,I302,K302,M302,O302,Q302,S302,U302,W302,Y302,AA302,AC302)</f>
        <v/>
      </c>
      <c r="AF302" s="8">
        <f>SUM(D302,F302,H302,J302,L302,N302,P302,R302,T302,V302,X302,Z302,AB302,AD302)</f>
        <v/>
      </c>
      <c r="AG302" s="8">
        <f>AE302+AF302</f>
        <v/>
      </c>
    </row>
    <row r="303">
      <c r="A303" s="10" t="n">
        <v>298</v>
      </c>
      <c r="B303" s="28" t="inlineStr">
        <is>
          <t>Yeni Kangal</t>
        </is>
      </c>
      <c r="C303" s="12" t="n"/>
      <c r="D303" s="12" t="n">
        <v>176.4</v>
      </c>
      <c r="E303" s="12" t="n">
        <v>342.41</v>
      </c>
      <c r="F303" s="12" t="n">
        <v>710</v>
      </c>
      <c r="G303" s="12" t="n">
        <v>204</v>
      </c>
      <c r="H303" s="12" t="n">
        <v>6158.45</v>
      </c>
      <c r="I303" s="12" t="n"/>
      <c r="J303" s="12" t="n"/>
      <c r="K303" s="12" t="n"/>
      <c r="L303" s="12" t="n">
        <v>893.9</v>
      </c>
      <c r="M303" s="12" t="n"/>
      <c r="N303" s="12" t="n"/>
      <c r="O303" s="12" t="n"/>
      <c r="P303" s="12" t="n"/>
      <c r="Q303" s="12" t="n"/>
      <c r="R303" s="12" t="n">
        <v>250.2</v>
      </c>
      <c r="S303" s="12" t="n"/>
      <c r="T303" s="12" t="n"/>
      <c r="U303" s="12" t="n"/>
      <c r="V303" s="12" t="n">
        <v>382.5</v>
      </c>
      <c r="W303" s="12" t="n">
        <v>150</v>
      </c>
      <c r="X303" s="12" t="n"/>
      <c r="Y303" s="12" t="n"/>
      <c r="Z303" s="12" t="n">
        <v>203</v>
      </c>
      <c r="AA303" s="12" t="n"/>
      <c r="AB303" s="12" t="n"/>
      <c r="AC303" s="12" t="n"/>
      <c r="AD303" s="12" t="n"/>
      <c r="AE303" s="13">
        <f>SUM(C303,E303,G303,I303,K303,M303,O303,Q303,S303,U303,W303,Y303,AA303,AC303)</f>
        <v/>
      </c>
      <c r="AF303" s="13">
        <f>SUM(D303,F303,H303,J303,L303,N303,P303,R303,T303,V303,X303,Z303,AB303,AD303)</f>
        <v/>
      </c>
      <c r="AG303" s="13">
        <f>AE303+AF303</f>
        <v/>
      </c>
    </row>
    <row r="304">
      <c r="A304" s="5" t="n">
        <v>299</v>
      </c>
      <c r="B304" s="27" t="inlineStr">
        <is>
          <t>Kırkağaç</t>
        </is>
      </c>
      <c r="C304" s="7" t="n"/>
      <c r="D304" s="7" t="n"/>
      <c r="E304" s="7" t="n"/>
      <c r="F304" s="7" t="n"/>
      <c r="G304" s="7" t="n"/>
      <c r="H304" s="7" t="n"/>
      <c r="I304" s="7" t="n"/>
      <c r="J304" s="7" t="n"/>
      <c r="K304" s="7" t="n"/>
      <c r="L304" s="7" t="n"/>
      <c r="M304" s="7" t="n"/>
      <c r="N304" s="7" t="n"/>
      <c r="O304" s="7" t="n"/>
      <c r="P304" s="7" t="n"/>
      <c r="Q304" s="7" t="n">
        <v>390</v>
      </c>
      <c r="R304" s="7" t="n">
        <v>1206.1</v>
      </c>
      <c r="S304" s="7" t="n"/>
      <c r="T304" s="7" t="n">
        <v>5341.255</v>
      </c>
      <c r="U304" s="7" t="n"/>
      <c r="V304" s="7" t="n"/>
      <c r="W304" s="7" t="n"/>
      <c r="X304" s="7" t="n"/>
      <c r="Y304" s="7" t="n">
        <v>0</v>
      </c>
      <c r="Z304" s="7" t="n"/>
      <c r="AA304" s="7" t="n">
        <v>2392.2</v>
      </c>
      <c r="AB304" s="7" t="n">
        <v>20</v>
      </c>
      <c r="AC304" s="7" t="n"/>
      <c r="AD304" s="7" t="n"/>
      <c r="AE304" s="8">
        <f>SUM(C304,E304,G304,I304,K304,M304,O304,Q304,S304,U304,W304,Y304,AA304,AC304)</f>
        <v/>
      </c>
      <c r="AF304" s="8">
        <f>SUM(D304,F304,H304,J304,L304,N304,P304,R304,T304,V304,X304,Z304,AB304,AD304)</f>
        <v/>
      </c>
      <c r="AG304" s="8">
        <f>AE304+AF304</f>
        <v/>
      </c>
    </row>
    <row r="305">
      <c r="A305" s="10" t="n">
        <v>300</v>
      </c>
      <c r="B305" s="28" t="inlineStr">
        <is>
          <t>Pelitözü</t>
        </is>
      </c>
      <c r="C305" s="12" t="n"/>
      <c r="D305" s="12" t="n"/>
      <c r="E305" s="12" t="n"/>
      <c r="F305" s="12" t="n"/>
      <c r="G305" s="12" t="n"/>
      <c r="H305" s="12" t="n"/>
      <c r="I305" s="12" t="n"/>
      <c r="J305" s="12" t="n"/>
      <c r="K305" s="12" t="n"/>
      <c r="L305" s="12" t="n"/>
      <c r="M305" s="12" t="n"/>
      <c r="N305" s="12" t="n"/>
      <c r="O305" s="12" t="n"/>
      <c r="P305" s="12" t="n">
        <v>30</v>
      </c>
      <c r="Q305" s="12" t="n"/>
      <c r="R305" s="12" t="n"/>
      <c r="S305" s="12" t="n"/>
      <c r="T305" s="12" t="n"/>
      <c r="U305" s="12" t="n"/>
      <c r="V305" s="12" t="n"/>
      <c r="W305" s="12" t="n"/>
      <c r="X305" s="12" t="n"/>
      <c r="Y305" s="12" t="n"/>
      <c r="Z305" s="12" t="n"/>
      <c r="AA305" s="12" t="n"/>
      <c r="AB305" s="12" t="n">
        <v>8987.58</v>
      </c>
      <c r="AC305" s="12" t="n"/>
      <c r="AD305" s="12" t="n"/>
      <c r="AE305" s="13">
        <f>SUM(C305,E305,G305,I305,K305,M305,O305,Q305,S305,U305,W305,Y305,AA305,AC305)</f>
        <v/>
      </c>
      <c r="AF305" s="13">
        <f>SUM(D305,F305,H305,J305,L305,N305,P305,R305,T305,V305,X305,Z305,AB305,AD305)</f>
        <v/>
      </c>
      <c r="AG305" s="13">
        <f>AE305+AF305</f>
        <v/>
      </c>
    </row>
    <row r="306">
      <c r="A306" s="5" t="n">
        <v>301</v>
      </c>
      <c r="B306" s="27" t="inlineStr">
        <is>
          <t>Çardak</t>
        </is>
      </c>
      <c r="C306" s="7" t="n">
        <v>174.25</v>
      </c>
      <c r="D306" s="7" t="n">
        <v>305.168</v>
      </c>
      <c r="E306" s="7" t="n"/>
      <c r="F306" s="7" t="n">
        <v>5809</v>
      </c>
      <c r="G306" s="7" t="n">
        <v>5</v>
      </c>
      <c r="H306" s="7" t="n">
        <v>5</v>
      </c>
      <c r="I306" s="7" t="n"/>
      <c r="J306" s="7" t="n"/>
      <c r="K306" s="7" t="n">
        <v>64.8</v>
      </c>
      <c r="L306" s="7" t="n">
        <v>24</v>
      </c>
      <c r="M306" s="7" t="n">
        <v>174.735</v>
      </c>
      <c r="N306" s="7" t="n">
        <v>295.728</v>
      </c>
      <c r="O306" s="7" t="n">
        <v>21</v>
      </c>
      <c r="P306" s="7" t="n">
        <v>555.4</v>
      </c>
      <c r="Q306" s="7" t="n">
        <v>277.4</v>
      </c>
      <c r="R306" s="7" t="n">
        <v>37.206</v>
      </c>
      <c r="S306" s="7" t="n">
        <v>438.92</v>
      </c>
      <c r="T306" s="7" t="n"/>
      <c r="U306" s="7" t="n">
        <v>106.7</v>
      </c>
      <c r="V306" s="7" t="n"/>
      <c r="W306" s="7" t="n"/>
      <c r="X306" s="7" t="n">
        <v>478</v>
      </c>
      <c r="Y306" s="7" t="n"/>
      <c r="Z306" s="7" t="n">
        <v>100.8</v>
      </c>
      <c r="AA306" s="7" t="n">
        <v>91.2</v>
      </c>
      <c r="AB306" s="7" t="n"/>
      <c r="AC306" s="7" t="n"/>
      <c r="AD306" s="7" t="n"/>
      <c r="AE306" s="8">
        <f>SUM(C306,E306,G306,I306,K306,M306,O306,Q306,S306,U306,W306,Y306,AA306,AC306)</f>
        <v/>
      </c>
      <c r="AF306" s="8">
        <f>SUM(D306,F306,H306,J306,L306,N306,P306,R306,T306,V306,X306,Z306,AB306,AD306)</f>
        <v/>
      </c>
      <c r="AG306" s="8">
        <f>AE306+AF306</f>
        <v/>
      </c>
    </row>
    <row r="307">
      <c r="A307" s="10" t="n">
        <v>302</v>
      </c>
      <c r="B307" s="28" t="inlineStr">
        <is>
          <t>Ildızım</t>
        </is>
      </c>
      <c r="C307" s="12" t="n"/>
      <c r="D307" s="12" t="n"/>
      <c r="E307" s="12" t="n"/>
      <c r="F307" s="12" t="n"/>
      <c r="G307" s="12" t="n"/>
      <c r="H307" s="12" t="n"/>
      <c r="I307" s="12" t="n"/>
      <c r="J307" s="12" t="n"/>
      <c r="K307" s="12" t="n"/>
      <c r="L307" s="12" t="n"/>
      <c r="M307" s="12" t="n"/>
      <c r="N307" s="12" t="n">
        <v>7805.925</v>
      </c>
      <c r="O307" s="12" t="n"/>
      <c r="P307" s="12" t="n"/>
      <c r="Q307" s="12" t="n"/>
      <c r="R307" s="12" t="n"/>
      <c r="S307" s="12" t="n"/>
      <c r="T307" s="12" t="n"/>
      <c r="U307" s="12" t="n"/>
      <c r="V307" s="12" t="n"/>
      <c r="W307" s="12" t="n"/>
      <c r="X307" s="12" t="n"/>
      <c r="Y307" s="12" t="n"/>
      <c r="Z307" s="12" t="n"/>
      <c r="AA307" s="12" t="n"/>
      <c r="AB307" s="12" t="n"/>
      <c r="AC307" s="12" t="n"/>
      <c r="AD307" s="12" t="n"/>
      <c r="AE307" s="13">
        <f>SUM(C307,E307,G307,I307,K307,M307,O307,Q307,S307,U307,W307,Y307,AA307,AC307)</f>
        <v/>
      </c>
      <c r="AF307" s="13">
        <f>SUM(D307,F307,H307,J307,L307,N307,P307,R307,T307,V307,X307,Z307,AB307,AD307)</f>
        <v/>
      </c>
      <c r="AG307" s="13">
        <f>AE307+AF307</f>
        <v/>
      </c>
    </row>
    <row r="308">
      <c r="A308" s="5" t="n">
        <v>303</v>
      </c>
      <c r="B308" s="27" t="inlineStr">
        <is>
          <t>Tayyakadın</t>
        </is>
      </c>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c r="AC308" s="7" t="n">
        <v>6468.4</v>
      </c>
      <c r="AD308" s="7" t="n">
        <v>933.95</v>
      </c>
      <c r="AE308" s="8">
        <f>SUM(C308,E308,G308,I308,K308,M308,O308,Q308,S308,U308,W308,Y308,AA308,AC308)</f>
        <v/>
      </c>
      <c r="AF308" s="8">
        <f>SUM(D308,F308,H308,J308,L308,N308,P308,R308,T308,V308,X308,Z308,AB308,AD308)</f>
        <v/>
      </c>
      <c r="AG308" s="8">
        <f>AE308+AF308</f>
        <v/>
      </c>
    </row>
    <row r="309">
      <c r="A309" s="10" t="n">
        <v>304</v>
      </c>
      <c r="B309" s="28" t="inlineStr">
        <is>
          <t>Kayaş</t>
        </is>
      </c>
      <c r="C309" s="12" t="n"/>
      <c r="D309" s="12" t="n">
        <v>135.1</v>
      </c>
      <c r="E309" s="12" t="n"/>
      <c r="F309" s="12" t="n">
        <v>162.9</v>
      </c>
      <c r="G309" s="12" t="n">
        <v>11</v>
      </c>
      <c r="H309" s="12" t="n">
        <v>77</v>
      </c>
      <c r="I309" s="12" t="n">
        <v>25</v>
      </c>
      <c r="J309" s="12" t="n">
        <v>4596.48</v>
      </c>
      <c r="K309" s="12" t="n"/>
      <c r="L309" s="12" t="n">
        <v>1915.82</v>
      </c>
      <c r="M309" s="12" t="n"/>
      <c r="N309" s="12" t="n"/>
      <c r="O309" s="12" t="n"/>
      <c r="P309" s="12" t="n"/>
      <c r="Q309" s="12" t="n"/>
      <c r="R309" s="12" t="n"/>
      <c r="S309" s="12" t="n"/>
      <c r="T309" s="12" t="n"/>
      <c r="U309" s="12" t="n">
        <v>122.86</v>
      </c>
      <c r="V309" s="12" t="n">
        <v>56.54</v>
      </c>
      <c r="W309" s="12" t="n">
        <v>70</v>
      </c>
      <c r="X309" s="12" t="n"/>
      <c r="Y309" s="12" t="n"/>
      <c r="Z309" s="12" t="n"/>
      <c r="AA309" s="12" t="n"/>
      <c r="AB309" s="12" t="n"/>
      <c r="AC309" s="12" t="n">
        <v>5</v>
      </c>
      <c r="AD309" s="12" t="n">
        <v>5</v>
      </c>
      <c r="AE309" s="13">
        <f>SUM(C309,E309,G309,I309,K309,M309,O309,Q309,S309,U309,W309,Y309,AA309,AC309)</f>
        <v/>
      </c>
      <c r="AF309" s="13">
        <f>SUM(D309,F309,H309,J309,L309,N309,P309,R309,T309,V309,X309,Z309,AB309,AD309)</f>
        <v/>
      </c>
      <c r="AG309" s="13">
        <f>AE309+AF309</f>
        <v/>
      </c>
    </row>
    <row r="310">
      <c r="A310" s="5" t="n">
        <v>305</v>
      </c>
      <c r="B310" s="27" t="inlineStr">
        <is>
          <t>Pehlivanköy</t>
        </is>
      </c>
      <c r="C310" s="7" t="n"/>
      <c r="D310" s="7" t="n">
        <v>5933.258</v>
      </c>
      <c r="E310" s="7" t="n"/>
      <c r="F310" s="7" t="n">
        <v>1113.332</v>
      </c>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c r="AC310" s="7" t="n"/>
      <c r="AD310" s="7" t="n"/>
      <c r="AE310" s="8">
        <f>SUM(C310,E310,G310,I310,K310,M310,O310,Q310,S310,U310,W310,Y310,AA310,AC310)</f>
        <v/>
      </c>
      <c r="AF310" s="8">
        <f>SUM(D310,F310,H310,J310,L310,N310,P310,R310,T310,V310,X310,Z310,AB310,AD310)</f>
        <v/>
      </c>
      <c r="AG310" s="8">
        <f>AE310+AF310</f>
        <v/>
      </c>
    </row>
    <row r="311">
      <c r="A311" s="10" t="n">
        <v>306</v>
      </c>
      <c r="B311" s="28" t="inlineStr">
        <is>
          <t>Kemah</t>
        </is>
      </c>
      <c r="C311" s="12" t="n"/>
      <c r="D311" s="12" t="n">
        <v>2613.4</v>
      </c>
      <c r="E311" s="12" t="n"/>
      <c r="F311" s="12" t="n">
        <v>591</v>
      </c>
      <c r="G311" s="12" t="n"/>
      <c r="H311" s="12" t="n">
        <v>1845.2</v>
      </c>
      <c r="I311" s="12" t="n"/>
      <c r="J311" s="12" t="n">
        <v>900.9</v>
      </c>
      <c r="K311" s="12" t="n">
        <v>380</v>
      </c>
      <c r="L311" s="12" t="n"/>
      <c r="M311" s="12" t="n"/>
      <c r="N311" s="12" t="n">
        <v>200</v>
      </c>
      <c r="O311" s="12" t="n"/>
      <c r="P311" s="12" t="n"/>
      <c r="Q311" s="12" t="n"/>
      <c r="R311" s="12" t="n"/>
      <c r="S311" s="12" t="n"/>
      <c r="T311" s="12" t="n"/>
      <c r="U311" s="12" t="n"/>
      <c r="V311" s="12" t="n"/>
      <c r="W311" s="12" t="n"/>
      <c r="X311" s="12" t="n"/>
      <c r="Y311" s="12" t="n"/>
      <c r="Z311" s="12" t="n"/>
      <c r="AA311" s="12" t="n">
        <v>107</v>
      </c>
      <c r="AB311" s="12" t="n">
        <v>311</v>
      </c>
      <c r="AC311" s="12" t="n"/>
      <c r="AD311" s="12" t="n"/>
      <c r="AE311" s="13">
        <f>SUM(C311,E311,G311,I311,K311,M311,O311,Q311,S311,U311,W311,Y311,AA311,AC311)</f>
        <v/>
      </c>
      <c r="AF311" s="13">
        <f>SUM(D311,F311,H311,J311,L311,N311,P311,R311,T311,V311,X311,Z311,AB311,AD311)</f>
        <v/>
      </c>
      <c r="AG311" s="13">
        <f>AE311+AF311</f>
        <v/>
      </c>
    </row>
    <row r="312">
      <c r="A312" s="5" t="n">
        <v>307</v>
      </c>
      <c r="B312" s="27" t="inlineStr">
        <is>
          <t>Ladik</t>
        </is>
      </c>
      <c r="C312" s="7" t="n"/>
      <c r="D312" s="7" t="n">
        <v>673</v>
      </c>
      <c r="E312" s="7" t="n">
        <v>50</v>
      </c>
      <c r="F312" s="7" t="n">
        <v>4682.6</v>
      </c>
      <c r="G312" s="7" t="n">
        <v>20</v>
      </c>
      <c r="H312" s="7" t="n">
        <v>726</v>
      </c>
      <c r="I312" s="7" t="n"/>
      <c r="J312" s="7" t="n"/>
      <c r="K312" s="7" t="n"/>
      <c r="L312" s="7" t="n"/>
      <c r="M312" s="7" t="n"/>
      <c r="N312" s="7" t="n"/>
      <c r="O312" s="7" t="n"/>
      <c r="P312" s="7" t="n"/>
      <c r="Q312" s="7" t="n"/>
      <c r="R312" s="7" t="n"/>
      <c r="S312" s="7" t="n"/>
      <c r="T312" s="7" t="n"/>
      <c r="U312" s="7" t="n"/>
      <c r="V312" s="7" t="n"/>
      <c r="W312" s="7" t="n"/>
      <c r="X312" s="7" t="n"/>
      <c r="Y312" s="7" t="n"/>
      <c r="Z312" s="7" t="n"/>
      <c r="AA312" s="7" t="n">
        <v>0</v>
      </c>
      <c r="AB312" s="7" t="n">
        <v>0</v>
      </c>
      <c r="AC312" s="7" t="n"/>
      <c r="AD312" s="7" t="n"/>
      <c r="AE312" s="8">
        <f>SUM(C312,E312,G312,I312,K312,M312,O312,Q312,S312,U312,W312,Y312,AA312,AC312)</f>
        <v/>
      </c>
      <c r="AF312" s="8">
        <f>SUM(D312,F312,H312,J312,L312,N312,P312,R312,T312,V312,X312,Z312,AB312,AD312)</f>
        <v/>
      </c>
      <c r="AG312" s="8">
        <f>AE312+AF312</f>
        <v/>
      </c>
    </row>
    <row r="313">
      <c r="A313" s="10" t="n">
        <v>308</v>
      </c>
      <c r="B313" s="28" t="inlineStr">
        <is>
          <t>Alaşehir</t>
        </is>
      </c>
      <c r="C313" s="12" t="n"/>
      <c r="D313" s="12" t="n"/>
      <c r="E313" s="12" t="n"/>
      <c r="F313" s="12" t="n"/>
      <c r="G313" s="12" t="n"/>
      <c r="H313" s="12" t="n"/>
      <c r="I313" s="12" t="n"/>
      <c r="J313" s="12" t="n"/>
      <c r="K313" s="12" t="n"/>
      <c r="L313" s="12" t="n"/>
      <c r="M313" s="12" t="n">
        <v>673.0700000000001</v>
      </c>
      <c r="N313" s="12" t="n">
        <v>170</v>
      </c>
      <c r="O313" s="12" t="n">
        <v>230</v>
      </c>
      <c r="P313" s="12" t="n">
        <v>114</v>
      </c>
      <c r="Q313" s="12" t="n">
        <v>1501.5</v>
      </c>
      <c r="R313" s="12" t="n">
        <v>63.91</v>
      </c>
      <c r="S313" s="12" t="n">
        <v>1338.315</v>
      </c>
      <c r="T313" s="12" t="n">
        <v>242.295</v>
      </c>
      <c r="U313" s="12" t="n">
        <v>231.84</v>
      </c>
      <c r="V313" s="12" t="n">
        <v>34.74</v>
      </c>
      <c r="W313" s="12" t="n">
        <v>641</v>
      </c>
      <c r="X313" s="12" t="n">
        <v>76.8</v>
      </c>
      <c r="Y313" s="12" t="n">
        <v>66.73999999999999</v>
      </c>
      <c r="Z313" s="12" t="n">
        <v>90.48</v>
      </c>
      <c r="AA313" s="12" t="n">
        <v>0</v>
      </c>
      <c r="AB313" s="12" t="n">
        <v>19.44</v>
      </c>
      <c r="AC313" s="12" t="n"/>
      <c r="AD313" s="12" t="n">
        <v>53.5</v>
      </c>
      <c r="AE313" s="13">
        <f>SUM(C313,E313,G313,I313,K313,M313,O313,Q313,S313,U313,W313,Y313,AA313,AC313)</f>
        <v/>
      </c>
      <c r="AF313" s="13">
        <f>SUM(D313,F313,H313,J313,L313,N313,P313,R313,T313,V313,X313,Z313,AB313,AD313)</f>
        <v/>
      </c>
      <c r="AG313" s="13">
        <f>AE313+AF313</f>
        <v/>
      </c>
    </row>
    <row r="314">
      <c r="A314" s="5" t="n">
        <v>309</v>
      </c>
      <c r="B314" s="27" t="inlineStr">
        <is>
          <t>Arıkören</t>
        </is>
      </c>
      <c r="C314" s="7" t="n"/>
      <c r="D314" s="7" t="n"/>
      <c r="E314" s="7" t="n"/>
      <c r="F314" s="7" t="n">
        <v>30</v>
      </c>
      <c r="G314" s="7" t="n">
        <v>801.896</v>
      </c>
      <c r="H314" s="7" t="n">
        <v>326</v>
      </c>
      <c r="I314" s="7" t="n">
        <v>34.8</v>
      </c>
      <c r="J314" s="7" t="n">
        <v>2281.5</v>
      </c>
      <c r="K314" s="7" t="n">
        <v>398.18</v>
      </c>
      <c r="L314" s="7" t="n"/>
      <c r="M314" s="7" t="n">
        <v>195.65</v>
      </c>
      <c r="N314" s="7" t="n">
        <v>400</v>
      </c>
      <c r="O314" s="7" t="n"/>
      <c r="P314" s="7" t="n"/>
      <c r="Q314" s="7" t="n"/>
      <c r="R314" s="7" t="n">
        <v>560.15</v>
      </c>
      <c r="S314" s="7" t="n"/>
      <c r="T314" s="7" t="n">
        <v>396</v>
      </c>
      <c r="U314" s="7" t="n"/>
      <c r="V314" s="7" t="n"/>
      <c r="W314" s="7" t="n"/>
      <c r="X314" s="7" t="n"/>
      <c r="Y314" s="7" t="n"/>
      <c r="Z314" s="7" t="n"/>
      <c r="AA314" s="7" t="n"/>
      <c r="AB314" s="7" t="n"/>
      <c r="AC314" s="7" t="n"/>
      <c r="AD314" s="7" t="n"/>
      <c r="AE314" s="8">
        <f>SUM(C314,E314,G314,I314,K314,M314,O314,Q314,S314,U314,W314,Y314,AA314,AC314)</f>
        <v/>
      </c>
      <c r="AF314" s="8">
        <f>SUM(D314,F314,H314,J314,L314,N314,P314,R314,T314,V314,X314,Z314,AB314,AD314)</f>
        <v/>
      </c>
      <c r="AG314" s="8">
        <f>AE314+AF314</f>
        <v/>
      </c>
    </row>
    <row r="315">
      <c r="A315" s="10" t="n">
        <v>310</v>
      </c>
      <c r="B315" s="28" t="inlineStr">
        <is>
          <t>Filyos</t>
        </is>
      </c>
      <c r="C315" s="12" t="n">
        <v>764</v>
      </c>
      <c r="D315" s="12" t="n">
        <v>4120.3</v>
      </c>
      <c r="E315" s="12" t="n">
        <v>175</v>
      </c>
      <c r="F315" s="12" t="n">
        <v>210</v>
      </c>
      <c r="G315" s="12" t="n"/>
      <c r="H315" s="12" t="n"/>
      <c r="I315" s="12" t="n"/>
      <c r="J315" s="12" t="n">
        <v>52</v>
      </c>
      <c r="K315" s="12" t="n"/>
      <c r="L315" s="12" t="n"/>
      <c r="M315" s="12" t="n"/>
      <c r="N315" s="12" t="n">
        <v>24.91</v>
      </c>
      <c r="O315" s="12" t="n"/>
      <c r="P315" s="12" t="n">
        <v>3</v>
      </c>
      <c r="Q315" s="12" t="n"/>
      <c r="R315" s="12" t="n">
        <v>47.91</v>
      </c>
      <c r="S315" s="12" t="n"/>
      <c r="T315" s="12" t="n"/>
      <c r="U315" s="12" t="n"/>
      <c r="V315" s="12" t="n"/>
      <c r="W315" s="12" t="n"/>
      <c r="X315" s="12" t="n"/>
      <c r="Y315" s="12" t="n"/>
      <c r="Z315" s="12" t="n"/>
      <c r="AA315" s="12" t="n"/>
      <c r="AB315" s="12" t="n"/>
      <c r="AC315" s="12" t="n"/>
      <c r="AD315" s="12" t="n"/>
      <c r="AE315" s="13">
        <f>SUM(C315,E315,G315,I315,K315,M315,O315,Q315,S315,U315,W315,Y315,AA315,AC315)</f>
        <v/>
      </c>
      <c r="AF315" s="13">
        <f>SUM(D315,F315,H315,J315,L315,N315,P315,R315,T315,V315,X315,Z315,AB315,AD315)</f>
        <v/>
      </c>
      <c r="AG315" s="13">
        <f>AE315+AF315</f>
        <v/>
      </c>
    </row>
    <row r="316">
      <c r="A316" s="5" t="n">
        <v>311</v>
      </c>
      <c r="B316" s="27" t="inlineStr">
        <is>
          <t>Fehimli</t>
        </is>
      </c>
      <c r="C316" s="7" t="n">
        <v>30</v>
      </c>
      <c r="D316" s="7" t="n">
        <v>5284.8</v>
      </c>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c r="AC316" s="7" t="n"/>
      <c r="AD316" s="7" t="n"/>
      <c r="AE316" s="8">
        <f>SUM(C316,E316,G316,I316,K316,M316,O316,Q316,S316,U316,W316,Y316,AA316,AC316)</f>
        <v/>
      </c>
      <c r="AF316" s="8">
        <f>SUM(D316,F316,H316,J316,L316,N316,P316,R316,T316,V316,X316,Z316,AB316,AD316)</f>
        <v/>
      </c>
      <c r="AG316" s="8">
        <f>AE316+AF316</f>
        <v/>
      </c>
    </row>
    <row r="317">
      <c r="A317" s="10" t="n">
        <v>312</v>
      </c>
      <c r="B317" s="28" t="inlineStr">
        <is>
          <t>Saltukova</t>
        </is>
      </c>
      <c r="C317" s="12" t="n">
        <v>3958.6</v>
      </c>
      <c r="D317" s="12" t="n">
        <v>20.5</v>
      </c>
      <c r="E317" s="12" t="n">
        <v>913.2</v>
      </c>
      <c r="F317" s="12" t="n">
        <v>396.4</v>
      </c>
      <c r="G317" s="12" t="n"/>
      <c r="H317" s="12" t="n">
        <v>20</v>
      </c>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3">
        <f>SUM(C317,E317,G317,I317,K317,M317,O317,Q317,S317,U317,W317,Y317,AA317,AC317)</f>
        <v/>
      </c>
      <c r="AF317" s="13">
        <f>SUM(D317,F317,H317,J317,L317,N317,P317,R317,T317,V317,X317,Z317,AB317,AD317)</f>
        <v/>
      </c>
      <c r="AG317" s="13">
        <f>AE317+AF317</f>
        <v/>
      </c>
    </row>
    <row r="318">
      <c r="A318" s="5" t="n">
        <v>313</v>
      </c>
      <c r="B318" s="27" t="inlineStr">
        <is>
          <t>Çakmak</t>
        </is>
      </c>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v>2759</v>
      </c>
      <c r="AB318" s="7" t="n">
        <v>2468.257</v>
      </c>
      <c r="AC318" s="7" t="n"/>
      <c r="AD318" s="7" t="n">
        <v>4</v>
      </c>
      <c r="AE318" s="8">
        <f>SUM(C318,E318,G318,I318,K318,M318,O318,Q318,S318,U318,W318,Y318,AA318,AC318)</f>
        <v/>
      </c>
      <c r="AF318" s="8">
        <f>SUM(D318,F318,H318,J318,L318,N318,P318,R318,T318,V318,X318,Z318,AB318,AD318)</f>
        <v/>
      </c>
      <c r="AG318" s="8">
        <f>AE318+AF318</f>
        <v/>
      </c>
    </row>
    <row r="319">
      <c r="A319" s="10" t="n">
        <v>314</v>
      </c>
      <c r="B319" s="28" t="inlineStr">
        <is>
          <t>Sinekli</t>
        </is>
      </c>
      <c r="C319" s="12" t="n"/>
      <c r="D319" s="12" t="n"/>
      <c r="E319" s="12" t="n"/>
      <c r="F319" s="12" t="n"/>
      <c r="G319" s="12" t="n"/>
      <c r="H319" s="12" t="n"/>
      <c r="I319" s="12" t="n"/>
      <c r="J319" s="12" t="n"/>
      <c r="K319" s="12" t="n">
        <v>137.655</v>
      </c>
      <c r="L319" s="12" t="n">
        <v>1080.88</v>
      </c>
      <c r="M319" s="12" t="n"/>
      <c r="N319" s="12" t="n"/>
      <c r="O319" s="12" t="n"/>
      <c r="P319" s="12" t="n"/>
      <c r="Q319" s="12" t="n"/>
      <c r="R319" s="12" t="n">
        <v>135</v>
      </c>
      <c r="S319" s="12" t="n"/>
      <c r="T319" s="12" t="n"/>
      <c r="U319" s="12" t="n"/>
      <c r="V319" s="12" t="n"/>
      <c r="W319" s="12" t="n"/>
      <c r="X319" s="12" t="n"/>
      <c r="Y319" s="12" t="n"/>
      <c r="Z319" s="12" t="n">
        <v>113</v>
      </c>
      <c r="AA319" s="12" t="n">
        <v>1049.54</v>
      </c>
      <c r="AB319" s="12" t="n">
        <v>1171.12</v>
      </c>
      <c r="AC319" s="12" t="n">
        <v>1014.05</v>
      </c>
      <c r="AD319" s="12" t="n">
        <v>492.7</v>
      </c>
      <c r="AE319" s="13">
        <f>SUM(C319,E319,G319,I319,K319,M319,O319,Q319,S319,U319,W319,Y319,AA319,AC319)</f>
        <v/>
      </c>
      <c r="AF319" s="13">
        <f>SUM(D319,F319,H319,J319,L319,N319,P319,R319,T319,V319,X319,Z319,AB319,AD319)</f>
        <v/>
      </c>
      <c r="AG319" s="13">
        <f>AE319+AF319</f>
        <v/>
      </c>
    </row>
    <row r="320">
      <c r="A320" s="5" t="n">
        <v>315</v>
      </c>
      <c r="B320" s="27" t="inlineStr">
        <is>
          <t>Haydarpaşa</t>
        </is>
      </c>
      <c r="C320" s="7" t="n">
        <v>3242.36</v>
      </c>
      <c r="D320" s="7" t="n"/>
      <c r="E320" s="7" t="n">
        <v>594</v>
      </c>
      <c r="F320" s="7" t="n">
        <v>100</v>
      </c>
      <c r="G320" s="7" t="n"/>
      <c r="H320" s="7" t="n"/>
      <c r="I320" s="7" t="n"/>
      <c r="J320" s="7" t="n"/>
      <c r="K320" s="7" t="n"/>
      <c r="L320" s="7" t="n">
        <v>144</v>
      </c>
      <c r="M320" s="7" t="n">
        <v>445.35</v>
      </c>
      <c r="N320" s="7" t="n">
        <v>42</v>
      </c>
      <c r="O320" s="7" t="n">
        <v>51</v>
      </c>
      <c r="P320" s="7" t="n"/>
      <c r="Q320" s="7" t="n"/>
      <c r="R320" s="7" t="n"/>
      <c r="S320" s="7" t="n"/>
      <c r="T320" s="7" t="n"/>
      <c r="U320" s="7" t="n"/>
      <c r="V320" s="7" t="n"/>
      <c r="W320" s="7" t="n"/>
      <c r="X320" s="7" t="n"/>
      <c r="Y320" s="7" t="n"/>
      <c r="Z320" s="7" t="n"/>
      <c r="AA320" s="7" t="n"/>
      <c r="AB320" s="7" t="n"/>
      <c r="AC320" s="7" t="n"/>
      <c r="AD320" s="7" t="n"/>
      <c r="AE320" s="8">
        <f>SUM(C320,E320,G320,I320,K320,M320,O320,Q320,S320,U320,W320,Y320,AA320,AC320)</f>
        <v/>
      </c>
      <c r="AF320" s="8">
        <f>SUM(D320,F320,H320,J320,L320,N320,P320,R320,T320,V320,X320,Z320,AB320,AD320)</f>
        <v/>
      </c>
      <c r="AG320" s="8">
        <f>AE320+AF320</f>
        <v/>
      </c>
    </row>
    <row r="321">
      <c r="A321" s="10" t="n">
        <v>316</v>
      </c>
      <c r="B321" s="28" t="inlineStr">
        <is>
          <t>Karasu</t>
        </is>
      </c>
      <c r="C321" s="12" t="n"/>
      <c r="D321" s="12" t="n">
        <v>264.5</v>
      </c>
      <c r="E321" s="12" t="n"/>
      <c r="F321" s="12" t="n">
        <v>727</v>
      </c>
      <c r="G321" s="12" t="n"/>
      <c r="H321" s="12" t="n">
        <v>28</v>
      </c>
      <c r="I321" s="12" t="n"/>
      <c r="J321" s="12" t="n">
        <v>90.7</v>
      </c>
      <c r="K321" s="12" t="n"/>
      <c r="L321" s="12" t="n"/>
      <c r="M321" s="12" t="n">
        <v>1135.7</v>
      </c>
      <c r="N321" s="12" t="n">
        <v>2090</v>
      </c>
      <c r="O321" s="12" t="n"/>
      <c r="P321" s="12" t="n"/>
      <c r="Q321" s="12" t="n"/>
      <c r="R321" s="12" t="n">
        <v>45</v>
      </c>
      <c r="S321" s="12" t="n"/>
      <c r="T321" s="12" t="n"/>
      <c r="U321" s="12" t="n"/>
      <c r="V321" s="12" t="n"/>
      <c r="W321" s="12" t="n"/>
      <c r="X321" s="12" t="n"/>
      <c r="Y321" s="12" t="n"/>
      <c r="Z321" s="12" t="n"/>
      <c r="AA321" s="12" t="n">
        <v>20</v>
      </c>
      <c r="AB321" s="12" t="n">
        <v>136</v>
      </c>
      <c r="AC321" s="12" t="n"/>
      <c r="AD321" s="12" t="n"/>
      <c r="AE321" s="13">
        <f>SUM(C321,E321,G321,I321,K321,M321,O321,Q321,S321,U321,W321,Y321,AA321,AC321)</f>
        <v/>
      </c>
      <c r="AF321" s="13">
        <f>SUM(D321,F321,H321,J321,L321,N321,P321,R321,T321,V321,X321,Z321,AB321,AD321)</f>
        <v/>
      </c>
      <c r="AG321" s="13">
        <f>AE321+AF321</f>
        <v/>
      </c>
    </row>
    <row r="322">
      <c r="A322" s="5" t="n">
        <v>317</v>
      </c>
      <c r="B322" s="27" t="inlineStr">
        <is>
          <t>Ceylanpınar</t>
        </is>
      </c>
      <c r="C322" s="7" t="n">
        <v>1</v>
      </c>
      <c r="D322" s="7" t="n">
        <v>1533</v>
      </c>
      <c r="E322" s="7" t="n">
        <v>6</v>
      </c>
      <c r="F322" s="7" t="n">
        <v>1458.4</v>
      </c>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c r="AC322" s="7" t="n">
        <v>498</v>
      </c>
      <c r="AD322" s="7" t="n">
        <v>870</v>
      </c>
      <c r="AE322" s="8">
        <f>SUM(C322,E322,G322,I322,K322,M322,O322,Q322,S322,U322,W322,Y322,AA322,AC322)</f>
        <v/>
      </c>
      <c r="AF322" s="8">
        <f>SUM(D322,F322,H322,J322,L322,N322,P322,R322,T322,V322,X322,Z322,AB322,AD322)</f>
        <v/>
      </c>
      <c r="AG322" s="8">
        <f>AE322+AF322</f>
        <v/>
      </c>
    </row>
    <row r="323">
      <c r="A323" s="10" t="n">
        <v>318</v>
      </c>
      <c r="B323" s="28" t="inlineStr">
        <is>
          <t>Tüney</t>
        </is>
      </c>
      <c r="C323" s="12" t="n"/>
      <c r="D323" s="12" t="n"/>
      <c r="E323" s="12" t="n"/>
      <c r="F323" s="12" t="n"/>
      <c r="G323" s="12" t="n"/>
      <c r="H323" s="12" t="n">
        <v>4324.3</v>
      </c>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v>18</v>
      </c>
      <c r="AE323" s="13">
        <f>SUM(C323,E323,G323,I323,K323,M323,O323,Q323,S323,U323,W323,Y323,AA323,AC323)</f>
        <v/>
      </c>
      <c r="AF323" s="13">
        <f>SUM(D323,F323,H323,J323,L323,N323,P323,R323,T323,V323,X323,Z323,AB323,AD323)</f>
        <v/>
      </c>
      <c r="AG323" s="13">
        <f>AE323+AF323</f>
        <v/>
      </c>
    </row>
    <row r="324">
      <c r="A324" s="5" t="n">
        <v>319</v>
      </c>
      <c r="B324" s="27" t="inlineStr">
        <is>
          <t>Tepetarla</t>
        </is>
      </c>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v>360</v>
      </c>
      <c r="AB324" s="7" t="n">
        <v>466.32</v>
      </c>
      <c r="AC324" s="7" t="n">
        <v>2900.802</v>
      </c>
      <c r="AD324" s="7" t="n">
        <v>500</v>
      </c>
      <c r="AE324" s="8">
        <f>SUM(C324,E324,G324,I324,K324,M324,O324,Q324,S324,U324,W324,Y324,AA324,AC324)</f>
        <v/>
      </c>
      <c r="AF324" s="8">
        <f>SUM(D324,F324,H324,J324,L324,N324,P324,R324,T324,V324,X324,Z324,AB324,AD324)</f>
        <v/>
      </c>
      <c r="AG324" s="8">
        <f>AE324+AF324</f>
        <v/>
      </c>
    </row>
    <row r="325">
      <c r="A325" s="10" t="n">
        <v>320</v>
      </c>
      <c r="B325" s="28" t="inlineStr">
        <is>
          <t>Türkyurdu</t>
        </is>
      </c>
      <c r="C325" s="12" t="n">
        <v>1435.4</v>
      </c>
      <c r="D325" s="12" t="n">
        <v>1212.6</v>
      </c>
      <c r="E325" s="12" t="n"/>
      <c r="F325" s="12" t="n"/>
      <c r="G325" s="12" t="n"/>
      <c r="H325" s="12" t="n"/>
      <c r="I325" s="12" t="n"/>
      <c r="J325" s="12" t="n"/>
      <c r="K325" s="12" t="n"/>
      <c r="L325" s="12" t="n"/>
      <c r="M325" s="12" t="n"/>
      <c r="N325" s="12" t="n"/>
      <c r="O325" s="12" t="n"/>
      <c r="P325" s="12" t="n"/>
      <c r="Q325" s="12" t="n"/>
      <c r="R325" s="12" t="n"/>
      <c r="S325" s="12" t="n"/>
      <c r="T325" s="12" t="n"/>
      <c r="U325" s="12" t="n">
        <v>648</v>
      </c>
      <c r="V325" s="12" t="n">
        <v>820</v>
      </c>
      <c r="W325" s="12" t="n"/>
      <c r="X325" s="12" t="n"/>
      <c r="Y325" s="12" t="n"/>
      <c r="Z325" s="12" t="n"/>
      <c r="AA325" s="12" t="n"/>
      <c r="AB325" s="12" t="n"/>
      <c r="AC325" s="12" t="n"/>
      <c r="AD325" s="12" t="n"/>
      <c r="AE325" s="13">
        <f>SUM(C325,E325,G325,I325,K325,M325,O325,Q325,S325,U325,W325,Y325,AA325,AC325)</f>
        <v/>
      </c>
      <c r="AF325" s="13">
        <f>SUM(D325,F325,H325,J325,L325,N325,P325,R325,T325,V325,X325,Z325,AB325,AD325)</f>
        <v/>
      </c>
      <c r="AG325" s="13">
        <f>AE325+AF325</f>
        <v/>
      </c>
    </row>
    <row r="326">
      <c r="A326" s="5" t="n">
        <v>321</v>
      </c>
      <c r="B326" s="27" t="inlineStr">
        <is>
          <t>Doğançay</t>
        </is>
      </c>
      <c r="C326" s="7" t="n"/>
      <c r="D326" s="7" t="n"/>
      <c r="E326" s="7" t="n"/>
      <c r="F326" s="7" t="n"/>
      <c r="G326" s="7" t="n"/>
      <c r="H326" s="7" t="n"/>
      <c r="I326" s="7" t="n"/>
      <c r="J326" s="7" t="n">
        <v>106.755</v>
      </c>
      <c r="K326" s="7" t="n"/>
      <c r="L326" s="7" t="n"/>
      <c r="M326" s="7" t="n"/>
      <c r="N326" s="7" t="n"/>
      <c r="O326" s="7" t="n"/>
      <c r="P326" s="7" t="n">
        <v>174</v>
      </c>
      <c r="Q326" s="7" t="n">
        <v>384</v>
      </c>
      <c r="R326" s="7" t="n">
        <v>3294.08</v>
      </c>
      <c r="S326" s="7" t="n"/>
      <c r="T326" s="7" t="n"/>
      <c r="U326" s="7" t="n"/>
      <c r="V326" s="7" t="n"/>
      <c r="W326" s="7" t="n"/>
      <c r="X326" s="7" t="n">
        <v>110</v>
      </c>
      <c r="Y326" s="7" t="n"/>
      <c r="Z326" s="7" t="n"/>
      <c r="AA326" s="7" t="n"/>
      <c r="AB326" s="7" t="n"/>
      <c r="AC326" s="7" t="n"/>
      <c r="AD326" s="7" t="n"/>
      <c r="AE326" s="8">
        <f>SUM(C326,E326,G326,I326,K326,M326,O326,Q326,S326,U326,W326,Y326,AA326,AC326)</f>
        <v/>
      </c>
      <c r="AF326" s="8">
        <f>SUM(D326,F326,H326,J326,L326,N326,P326,R326,T326,V326,X326,Z326,AB326,AD326)</f>
        <v/>
      </c>
      <c r="AG326" s="8">
        <f>AE326+AF326</f>
        <v/>
      </c>
    </row>
    <row r="327">
      <c r="A327" s="10" t="n">
        <v>322</v>
      </c>
      <c r="B327" s="28" t="inlineStr">
        <is>
          <t>Yazıhan</t>
        </is>
      </c>
      <c r="C327" s="12" t="n">
        <v>60</v>
      </c>
      <c r="D327" s="12" t="n">
        <v>2348</v>
      </c>
      <c r="E327" s="12" t="n"/>
      <c r="F327" s="12" t="n">
        <v>1021.25</v>
      </c>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3">
        <f>SUM(C327,E327,G327,I327,K327,M327,O327,Q327,S327,U327,W327,Y327,AA327,AC327)</f>
        <v/>
      </c>
      <c r="AF327" s="13">
        <f>SUM(D327,F327,H327,J327,L327,N327,P327,R327,T327,V327,X327,Z327,AB327,AD327)</f>
        <v/>
      </c>
      <c r="AG327" s="13">
        <f>AE327+AF327</f>
        <v/>
      </c>
    </row>
    <row r="328">
      <c r="A328" s="5" t="n">
        <v>323</v>
      </c>
      <c r="B328" s="27" t="inlineStr">
        <is>
          <t>Bandırma Liman</t>
        </is>
      </c>
      <c r="C328" s="7" t="n"/>
      <c r="D328" s="7" t="n"/>
      <c r="E328" s="7" t="n"/>
      <c r="F328" s="7" t="n"/>
      <c r="G328" s="7" t="n"/>
      <c r="H328" s="7" t="n"/>
      <c r="I328" s="7" t="n"/>
      <c r="J328" s="7" t="n">
        <v>2774.6</v>
      </c>
      <c r="K328" s="7" t="n"/>
      <c r="L328" s="7" t="n">
        <v>306.7</v>
      </c>
      <c r="M328" s="7" t="n"/>
      <c r="N328" s="7" t="n"/>
      <c r="O328" s="7" t="n"/>
      <c r="P328" s="7" t="n"/>
      <c r="Q328" s="7" t="n"/>
      <c r="R328" s="7" t="n"/>
      <c r="S328" s="7" t="n"/>
      <c r="T328" s="7" t="n"/>
      <c r="U328" s="7" t="n"/>
      <c r="V328" s="7" t="n"/>
      <c r="W328" s="7" t="n"/>
      <c r="X328" s="7" t="n"/>
      <c r="Y328" s="7" t="n"/>
      <c r="Z328" s="7" t="n"/>
      <c r="AA328" s="7" t="n"/>
      <c r="AB328" s="7" t="n"/>
      <c r="AC328" s="7" t="n"/>
      <c r="AD328" s="7" t="n"/>
      <c r="AE328" s="8">
        <f>SUM(C328,E328,G328,I328,K328,M328,O328,Q328,S328,U328,W328,Y328,AA328,AC328)</f>
        <v/>
      </c>
      <c r="AF328" s="8">
        <f>SUM(D328,F328,H328,J328,L328,N328,P328,R328,T328,V328,X328,Z328,AB328,AD328)</f>
        <v/>
      </c>
      <c r="AG328" s="8">
        <f>AE328+AF328</f>
        <v/>
      </c>
    </row>
    <row r="329">
      <c r="A329" s="10" t="n">
        <v>324</v>
      </c>
      <c r="B329" s="28" t="inlineStr">
        <is>
          <t>Karaköy</t>
        </is>
      </c>
      <c r="C329" s="12" t="n">
        <v>723</v>
      </c>
      <c r="D329" s="12" t="n">
        <v>572.42</v>
      </c>
      <c r="E329" s="12" t="n"/>
      <c r="F329" s="12" t="n">
        <v>200</v>
      </c>
      <c r="G329" s="12" t="n">
        <v>20.21</v>
      </c>
      <c r="H329" s="12" t="n">
        <v>8</v>
      </c>
      <c r="I329" s="12" t="n"/>
      <c r="J329" s="12" t="n"/>
      <c r="K329" s="12" t="n"/>
      <c r="L329" s="12" t="n"/>
      <c r="M329" s="12" t="n"/>
      <c r="N329" s="12" t="n"/>
      <c r="O329" s="12" t="n"/>
      <c r="P329" s="12" t="n">
        <v>589</v>
      </c>
      <c r="Q329" s="12" t="n"/>
      <c r="R329" s="12" t="n"/>
      <c r="S329" s="12" t="n"/>
      <c r="T329" s="12" t="n"/>
      <c r="U329" s="12" t="n"/>
      <c r="V329" s="12" t="n">
        <v>230</v>
      </c>
      <c r="W329" s="12" t="n"/>
      <c r="X329" s="12" t="n"/>
      <c r="Y329" s="12" t="n">
        <v>74.41500000000001</v>
      </c>
      <c r="Z329" s="12" t="n">
        <v>9</v>
      </c>
      <c r="AA329" s="12" t="n"/>
      <c r="AB329" s="12" t="n">
        <v>478.8</v>
      </c>
      <c r="AC329" s="12" t="n"/>
      <c r="AD329" s="12" t="n"/>
      <c r="AE329" s="13">
        <f>SUM(C329,E329,G329,I329,K329,M329,O329,Q329,S329,U329,W329,Y329,AA329,AC329)</f>
        <v/>
      </c>
      <c r="AF329" s="13">
        <f>SUM(D329,F329,H329,J329,L329,N329,P329,R329,T329,V329,X329,Z329,AB329,AD329)</f>
        <v/>
      </c>
      <c r="AG329" s="13">
        <f>AE329+AF329</f>
        <v/>
      </c>
    </row>
    <row r="330">
      <c r="A330" s="5" t="n">
        <v>325</v>
      </c>
      <c r="B330" s="27" t="inlineStr">
        <is>
          <t>Erbaş</t>
        </is>
      </c>
      <c r="C330" s="7" t="n"/>
      <c r="D330" s="7" t="n">
        <v>45.385</v>
      </c>
      <c r="E330" s="7" t="n"/>
      <c r="F330" s="7" t="n">
        <v>546</v>
      </c>
      <c r="G330" s="7" t="n">
        <v>1748.85</v>
      </c>
      <c r="H330" s="7" t="n">
        <v>380</v>
      </c>
      <c r="I330" s="7" t="n"/>
      <c r="J330" s="7" t="n">
        <v>24.1</v>
      </c>
      <c r="K330" s="7" t="n"/>
      <c r="L330" s="7" t="n"/>
      <c r="M330" s="7" t="n"/>
      <c r="N330" s="7" t="n"/>
      <c r="O330" s="7" t="n"/>
      <c r="P330" s="7" t="n"/>
      <c r="Q330" s="7" t="n"/>
      <c r="R330" s="7" t="n"/>
      <c r="S330" s="7" t="n"/>
      <c r="T330" s="7" t="n"/>
      <c r="U330" s="7" t="n"/>
      <c r="V330" s="7" t="n"/>
      <c r="W330" s="7" t="n"/>
      <c r="X330" s="7" t="n"/>
      <c r="Y330" s="7" t="n"/>
      <c r="Z330" s="7" t="n"/>
      <c r="AA330" s="7" t="n">
        <v>1</v>
      </c>
      <c r="AB330" s="7" t="n">
        <v>101</v>
      </c>
      <c r="AC330" s="7" t="n"/>
      <c r="AD330" s="7" t="n"/>
      <c r="AE330" s="8">
        <f>SUM(C330,E330,G330,I330,K330,M330,O330,Q330,S330,U330,W330,Y330,AA330,AC330)</f>
        <v/>
      </c>
      <c r="AF330" s="8">
        <f>SUM(D330,F330,H330,J330,L330,N330,P330,R330,T330,V330,X330,Z330,AB330,AD330)</f>
        <v/>
      </c>
      <c r="AG330" s="8">
        <f>AE330+AF330</f>
        <v/>
      </c>
    </row>
    <row r="331">
      <c r="A331" s="10" t="n">
        <v>326</v>
      </c>
      <c r="B331" s="28" t="inlineStr">
        <is>
          <t>Ekinova</t>
        </is>
      </c>
      <c r="C331" s="12" t="n"/>
      <c r="D331" s="12" t="n"/>
      <c r="E331" s="12" t="n"/>
      <c r="F331" s="12" t="n"/>
      <c r="G331" s="12" t="n"/>
      <c r="H331" s="12" t="n"/>
      <c r="I331" s="12" t="n"/>
      <c r="J331" s="12" t="n">
        <v>400</v>
      </c>
      <c r="K331" s="12" t="n"/>
      <c r="L331" s="12" t="n"/>
      <c r="M331" s="12" t="n"/>
      <c r="N331" s="12" t="n">
        <v>1900</v>
      </c>
      <c r="O331" s="12" t="n"/>
      <c r="P331" s="12" t="n"/>
      <c r="Q331" s="12" t="n">
        <v>208.08</v>
      </c>
      <c r="R331" s="12" t="n"/>
      <c r="S331" s="12" t="n"/>
      <c r="T331" s="12" t="n"/>
      <c r="U331" s="12" t="n"/>
      <c r="V331" s="12" t="n"/>
      <c r="W331" s="12" t="n"/>
      <c r="X331" s="12" t="n"/>
      <c r="Y331" s="12" t="n"/>
      <c r="Z331" s="12" t="n"/>
      <c r="AA331" s="12" t="n"/>
      <c r="AB331" s="12" t="n"/>
      <c r="AC331" s="12" t="n"/>
      <c r="AD331" s="12" t="n"/>
      <c r="AE331" s="13">
        <f>SUM(C331,E331,G331,I331,K331,M331,O331,Q331,S331,U331,W331,Y331,AA331,AC331)</f>
        <v/>
      </c>
      <c r="AF331" s="13">
        <f>SUM(D331,F331,H331,J331,L331,N331,P331,R331,T331,V331,X331,Z331,AB331,AD331)</f>
        <v/>
      </c>
      <c r="AG331" s="13">
        <f>AE331+AF331</f>
        <v/>
      </c>
    </row>
    <row r="332">
      <c r="A332" s="5" t="n">
        <v>327</v>
      </c>
      <c r="B332" s="27" t="inlineStr">
        <is>
          <t>Sumucak</t>
        </is>
      </c>
      <c r="C332" s="7" t="n"/>
      <c r="D332" s="7" t="n"/>
      <c r="E332" s="7" t="n"/>
      <c r="F332" s="7" t="n"/>
      <c r="G332" s="7" t="n"/>
      <c r="H332" s="7" t="n">
        <v>1104</v>
      </c>
      <c r="I332" s="7" t="n"/>
      <c r="J332" s="7" t="n"/>
      <c r="K332" s="7" t="n"/>
      <c r="L332" s="7" t="n"/>
      <c r="M332" s="7" t="n"/>
      <c r="N332" s="7" t="n"/>
      <c r="O332" s="7" t="n"/>
      <c r="P332" s="7" t="n"/>
      <c r="Q332" s="7" t="n"/>
      <c r="R332" s="7" t="n"/>
      <c r="S332" s="7" t="n"/>
      <c r="T332" s="7" t="n"/>
      <c r="U332" s="7" t="n"/>
      <c r="V332" s="7" t="n"/>
      <c r="W332" s="7" t="n"/>
      <c r="X332" s="7" t="n"/>
      <c r="Y332" s="7" t="n">
        <v>4</v>
      </c>
      <c r="Z332" s="7" t="n">
        <v>631</v>
      </c>
      <c r="AA332" s="7" t="n">
        <v>285.06</v>
      </c>
      <c r="AB332" s="7" t="n">
        <v>325</v>
      </c>
      <c r="AC332" s="7" t="n">
        <v>80.65000000000001</v>
      </c>
      <c r="AD332" s="7" t="n">
        <v>78.18000000000001</v>
      </c>
      <c r="AE332" s="8">
        <f>SUM(C332,E332,G332,I332,K332,M332,O332,Q332,S332,U332,W332,Y332,AA332,AC332)</f>
        <v/>
      </c>
      <c r="AF332" s="8">
        <f>SUM(D332,F332,H332,J332,L332,N332,P332,R332,T332,V332,X332,Z332,AB332,AD332)</f>
        <v/>
      </c>
      <c r="AG332" s="8">
        <f>AE332+AF332</f>
        <v/>
      </c>
    </row>
    <row r="333">
      <c r="A333" s="10" t="n">
        <v>328</v>
      </c>
      <c r="B333" s="28" t="inlineStr">
        <is>
          <t>Osmaneli</t>
        </is>
      </c>
      <c r="C333" s="12" t="n"/>
      <c r="D333" s="12" t="n">
        <v>120</v>
      </c>
      <c r="E333" s="12" t="n">
        <v>75.5</v>
      </c>
      <c r="F333" s="12" t="n">
        <v>202.7</v>
      </c>
      <c r="G333" s="12" t="n">
        <v>86</v>
      </c>
      <c r="H333" s="12" t="n">
        <v>100</v>
      </c>
      <c r="I333" s="12" t="n"/>
      <c r="J333" s="12" t="n">
        <v>84.73</v>
      </c>
      <c r="K333" s="12" t="n">
        <v>313</v>
      </c>
      <c r="L333" s="12" t="n"/>
      <c r="M333" s="12" t="n">
        <v>17.3</v>
      </c>
      <c r="N333" s="12" t="n">
        <v>57</v>
      </c>
      <c r="O333" s="12" t="n">
        <v>304</v>
      </c>
      <c r="P333" s="12" t="n">
        <v>274</v>
      </c>
      <c r="Q333" s="12" t="n">
        <v>190</v>
      </c>
      <c r="R333" s="12" t="n">
        <v>190</v>
      </c>
      <c r="S333" s="12" t="n"/>
      <c r="T333" s="12" t="n"/>
      <c r="U333" s="12" t="n"/>
      <c r="V333" s="12" t="n"/>
      <c r="W333" s="12" t="n"/>
      <c r="X333" s="12" t="n"/>
      <c r="Y333" s="12" t="n"/>
      <c r="Z333" s="12" t="n">
        <v>116</v>
      </c>
      <c r="AA333" s="12" t="n"/>
      <c r="AB333" s="12" t="n"/>
      <c r="AC333" s="12" t="n"/>
      <c r="AD333" s="12" t="n">
        <v>110.5</v>
      </c>
      <c r="AE333" s="13">
        <f>SUM(C333,E333,G333,I333,K333,M333,O333,Q333,S333,U333,W333,Y333,AA333,AC333)</f>
        <v/>
      </c>
      <c r="AF333" s="13">
        <f>SUM(D333,F333,H333,J333,L333,N333,P333,R333,T333,V333,X333,Z333,AB333,AD333)</f>
        <v/>
      </c>
      <c r="AG333" s="13">
        <f>AE333+AF333</f>
        <v/>
      </c>
    </row>
    <row r="334">
      <c r="A334" s="5" t="n">
        <v>329</v>
      </c>
      <c r="B334" s="27" t="inlineStr">
        <is>
          <t>Canbaz</t>
        </is>
      </c>
      <c r="C334" s="7" t="n"/>
      <c r="D334" s="7" t="n"/>
      <c r="E334" s="7" t="n"/>
      <c r="F334" s="7" t="n"/>
      <c r="G334" s="7" t="n"/>
      <c r="H334" s="7" t="n"/>
      <c r="I334" s="7" t="n"/>
      <c r="J334" s="7" t="n"/>
      <c r="K334" s="7" t="n"/>
      <c r="L334" s="7" t="n">
        <v>1526.8</v>
      </c>
      <c r="M334" s="7" t="n"/>
      <c r="N334" s="7" t="n"/>
      <c r="O334" s="7" t="n"/>
      <c r="P334" s="7" t="n"/>
      <c r="Q334" s="7" t="n">
        <v>225.5</v>
      </c>
      <c r="R334" s="7" t="n"/>
      <c r="S334" s="7" t="n"/>
      <c r="T334" s="7" t="n">
        <v>40</v>
      </c>
      <c r="U334" s="7" t="n"/>
      <c r="V334" s="7" t="n"/>
      <c r="W334" s="7" t="n"/>
      <c r="X334" s="7" t="n"/>
      <c r="Y334" s="7" t="n">
        <v>280</v>
      </c>
      <c r="Z334" s="7" t="n"/>
      <c r="AA334" s="7" t="n">
        <v>27</v>
      </c>
      <c r="AB334" s="7" t="n">
        <v>84</v>
      </c>
      <c r="AC334" s="7" t="n"/>
      <c r="AD334" s="7" t="n"/>
      <c r="AE334" s="8">
        <f>SUM(C334,E334,G334,I334,K334,M334,O334,Q334,S334,U334,W334,Y334,AA334,AC334)</f>
        <v/>
      </c>
      <c r="AF334" s="8">
        <f>SUM(D334,F334,H334,J334,L334,N334,P334,R334,T334,V334,X334,Z334,AB334,AD334)</f>
        <v/>
      </c>
      <c r="AG334" s="8">
        <f>AE334+AF334</f>
        <v/>
      </c>
    </row>
    <row r="335">
      <c r="A335" s="10" t="n">
        <v>330</v>
      </c>
      <c r="B335" s="28" t="inlineStr">
        <is>
          <t>İsmetpaşa</t>
        </is>
      </c>
      <c r="C335" s="12" t="n"/>
      <c r="D335" s="12" t="n"/>
      <c r="E335" s="12" t="n"/>
      <c r="F335" s="12" t="n"/>
      <c r="G335" s="12" t="n"/>
      <c r="H335" s="12" t="n"/>
      <c r="I335" s="12" t="n"/>
      <c r="J335" s="12" t="n"/>
      <c r="K335" s="12" t="n"/>
      <c r="L335" s="12" t="n"/>
      <c r="M335" s="12" t="n"/>
      <c r="N335" s="12" t="n">
        <v>280</v>
      </c>
      <c r="O335" s="12" t="n"/>
      <c r="P335" s="12" t="n"/>
      <c r="Q335" s="12" t="n"/>
      <c r="R335" s="12" t="n"/>
      <c r="S335" s="12" t="n"/>
      <c r="T335" s="12" t="n"/>
      <c r="U335" s="12" t="n"/>
      <c r="V335" s="12" t="n"/>
      <c r="W335" s="12" t="n">
        <v>263.215</v>
      </c>
      <c r="X335" s="12" t="n"/>
      <c r="Y335" s="12" t="n"/>
      <c r="Z335" s="12" t="n"/>
      <c r="AA335" s="12" t="n"/>
      <c r="AB335" s="12" t="n"/>
      <c r="AC335" s="12" t="n"/>
      <c r="AD335" s="12" t="n">
        <v>1150</v>
      </c>
      <c r="AE335" s="13">
        <f>SUM(C335,E335,G335,I335,K335,M335,O335,Q335,S335,U335,W335,Y335,AA335,AC335)</f>
        <v/>
      </c>
      <c r="AF335" s="13">
        <f>SUM(D335,F335,H335,J335,L335,N335,P335,R335,T335,V335,X335,Z335,AB335,AD335)</f>
        <v/>
      </c>
      <c r="AG335" s="13">
        <f>AE335+AF335</f>
        <v/>
      </c>
    </row>
    <row r="336">
      <c r="A336" s="5" t="n">
        <v>331</v>
      </c>
      <c r="B336" s="27" t="inlineStr">
        <is>
          <t>Dilek</t>
        </is>
      </c>
      <c r="C336" s="7" t="n"/>
      <c r="D336" s="7" t="n">
        <v>666</v>
      </c>
      <c r="E336" s="7" t="n"/>
      <c r="F336" s="7" t="n">
        <v>60</v>
      </c>
      <c r="G336" s="7" t="n"/>
      <c r="H336" s="7" t="n">
        <v>224</v>
      </c>
      <c r="I336" s="7" t="n"/>
      <c r="J336" s="7" t="n"/>
      <c r="K336" s="7" t="n"/>
      <c r="L336" s="7" t="n">
        <v>480</v>
      </c>
      <c r="M336" s="7" t="n"/>
      <c r="N336" s="7" t="n"/>
      <c r="O336" s="7" t="n"/>
      <c r="P336" s="7" t="n"/>
      <c r="Q336" s="7" t="n"/>
      <c r="R336" s="7" t="n"/>
      <c r="S336" s="7" t="n"/>
      <c r="T336" s="7" t="n"/>
      <c r="U336" s="7" t="n"/>
      <c r="V336" s="7" t="n"/>
      <c r="W336" s="7" t="n"/>
      <c r="X336" s="7" t="n"/>
      <c r="Y336" s="7" t="n"/>
      <c r="Z336" s="7" t="n"/>
      <c r="AA336" s="7" t="n"/>
      <c r="AB336" s="7" t="n"/>
      <c r="AC336" s="7" t="n"/>
      <c r="AD336" s="7" t="n"/>
      <c r="AE336" s="8">
        <f>SUM(C336,E336,G336,I336,K336,M336,O336,Q336,S336,U336,W336,Y336,AA336,AC336)</f>
        <v/>
      </c>
      <c r="AF336" s="8">
        <f>SUM(D336,F336,H336,J336,L336,N336,P336,R336,T336,V336,X336,Z336,AB336,AD336)</f>
        <v/>
      </c>
      <c r="AG336" s="8">
        <f>AE336+AF336</f>
        <v/>
      </c>
    </row>
    <row r="337">
      <c r="A337" s="10" t="n">
        <v>332</v>
      </c>
      <c r="B337" s="28" t="inlineStr">
        <is>
          <t>Köşk</t>
        </is>
      </c>
      <c r="C337" s="12" t="n"/>
      <c r="D337" s="12" t="n"/>
      <c r="E337" s="12" t="n"/>
      <c r="F337" s="12" t="n"/>
      <c r="G337" s="12" t="n"/>
      <c r="H337" s="12" t="n"/>
      <c r="I337" s="12" t="n"/>
      <c r="J337" s="12" t="n"/>
      <c r="K337" s="12" t="n">
        <v>104</v>
      </c>
      <c r="L337" s="12" t="n"/>
      <c r="M337" s="12" t="n">
        <v>416</v>
      </c>
      <c r="N337" s="12" t="n">
        <v>24</v>
      </c>
      <c r="O337" s="12" t="n">
        <v>54</v>
      </c>
      <c r="P337" s="12" t="n"/>
      <c r="Q337" s="12" t="n"/>
      <c r="R337" s="12" t="n"/>
      <c r="S337" s="12" t="n">
        <v>240</v>
      </c>
      <c r="T337" s="12" t="n">
        <v>240</v>
      </c>
      <c r="U337" s="12" t="n"/>
      <c r="V337" s="12" t="n"/>
      <c r="W337" s="12" t="n"/>
      <c r="X337" s="12" t="n"/>
      <c r="Y337" s="12" t="n"/>
      <c r="Z337" s="12" t="n"/>
      <c r="AA337" s="12" t="n"/>
      <c r="AB337" s="12" t="n"/>
      <c r="AC337" s="12" t="n"/>
      <c r="AD337" s="12" t="n"/>
      <c r="AE337" s="13">
        <f>SUM(C337,E337,G337,I337,K337,M337,O337,Q337,S337,U337,W337,Y337,AA337,AC337)</f>
        <v/>
      </c>
      <c r="AF337" s="13">
        <f>SUM(D337,F337,H337,J337,L337,N337,P337,R337,T337,V337,X337,Z337,AB337,AD337)</f>
        <v/>
      </c>
      <c r="AG337" s="13">
        <f>AE337+AF337</f>
        <v/>
      </c>
    </row>
    <row r="338">
      <c r="A338" s="5" t="n">
        <v>333</v>
      </c>
      <c r="B338" s="27" t="inlineStr">
        <is>
          <t>Eskipazar</t>
        </is>
      </c>
      <c r="C338" s="7" t="n"/>
      <c r="D338" s="7" t="n"/>
      <c r="E338" s="7" t="n"/>
      <c r="F338" s="7" t="n"/>
      <c r="G338" s="7" t="n"/>
      <c r="H338" s="7" t="n"/>
      <c r="I338" s="7" t="n"/>
      <c r="J338" s="7" t="n"/>
      <c r="K338" s="7" t="n"/>
      <c r="L338" s="7" t="n"/>
      <c r="M338" s="7" t="n"/>
      <c r="N338" s="7" t="n"/>
      <c r="O338" s="7" t="n"/>
      <c r="P338" s="7" t="n">
        <v>48</v>
      </c>
      <c r="Q338" s="7" t="n"/>
      <c r="R338" s="7" t="n"/>
      <c r="S338" s="7" t="n"/>
      <c r="T338" s="7" t="n"/>
      <c r="U338" s="7" t="n"/>
      <c r="V338" s="7" t="n"/>
      <c r="W338" s="7" t="n"/>
      <c r="X338" s="7" t="n">
        <v>646.745</v>
      </c>
      <c r="Y338" s="7" t="n">
        <v>111.755</v>
      </c>
      <c r="Z338" s="7" t="n">
        <v>125</v>
      </c>
      <c r="AA338" s="7" t="n"/>
      <c r="AB338" s="7" t="n"/>
      <c r="AC338" s="7" t="n"/>
      <c r="AD338" s="7" t="n"/>
      <c r="AE338" s="8">
        <f>SUM(C338,E338,G338,I338,K338,M338,O338,Q338,S338,U338,W338,Y338,AA338,AC338)</f>
        <v/>
      </c>
      <c r="AF338" s="8">
        <f>SUM(D338,F338,H338,J338,L338,N338,P338,R338,T338,V338,X338,Z338,AB338,AD338)</f>
        <v/>
      </c>
      <c r="AG338" s="8">
        <f>AE338+AF338</f>
        <v/>
      </c>
    </row>
    <row r="339">
      <c r="A339" s="10" t="n">
        <v>334</v>
      </c>
      <c r="B339" s="28" t="inlineStr">
        <is>
          <t>Kars Lojistik</t>
        </is>
      </c>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v>35.686</v>
      </c>
      <c r="AD339" s="12" t="n">
        <v>778.317</v>
      </c>
      <c r="AE339" s="13">
        <f>SUM(C339,E339,G339,I339,K339,M339,O339,Q339,S339,U339,W339,Y339,AA339,AC339)</f>
        <v/>
      </c>
      <c r="AF339" s="13">
        <f>SUM(D339,F339,H339,J339,L339,N339,P339,R339,T339,V339,X339,Z339,AB339,AD339)</f>
        <v/>
      </c>
      <c r="AG339" s="13">
        <f>AE339+AF339</f>
        <v/>
      </c>
    </row>
    <row r="340">
      <c r="A340" s="5" t="n">
        <v>335</v>
      </c>
      <c r="B340" s="27" t="inlineStr">
        <is>
          <t>Yeşilyurt</t>
        </is>
      </c>
      <c r="C340" s="7" t="n">
        <v>798.75</v>
      </c>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8">
        <f>SUM(C340,E340,G340,I340,K340,M340,O340,Q340,S340,U340,W340,Y340,AA340,AC340)</f>
        <v/>
      </c>
      <c r="AF340" s="8">
        <f>SUM(D340,F340,H340,J340,L340,N340,P340,R340,T340,V340,X340,Z340,AB340,AD340)</f>
        <v/>
      </c>
      <c r="AG340" s="8">
        <f>AE340+AF340</f>
        <v/>
      </c>
    </row>
    <row r="341">
      <c r="A341" s="10" t="n">
        <v>336</v>
      </c>
      <c r="B341" s="28" t="inlineStr">
        <is>
          <t>Yenidoğan</t>
        </is>
      </c>
      <c r="C341" s="12" t="n"/>
      <c r="D341" s="12" t="n"/>
      <c r="E341" s="12" t="n"/>
      <c r="F341" s="12" t="n">
        <v>200</v>
      </c>
      <c r="G341" s="12" t="n">
        <v>40</v>
      </c>
      <c r="H341" s="12" t="n">
        <v>90</v>
      </c>
      <c r="I341" s="12" t="n"/>
      <c r="J341" s="12" t="n"/>
      <c r="K341" s="12" t="n"/>
      <c r="L341" s="12" t="n"/>
      <c r="M341" s="12" t="n"/>
      <c r="N341" s="12" t="n"/>
      <c r="O341" s="12" t="n"/>
      <c r="P341" s="12" t="n"/>
      <c r="Q341" s="12" t="n"/>
      <c r="R341" s="12" t="n"/>
      <c r="S341" s="12" t="n"/>
      <c r="T341" s="12" t="n"/>
      <c r="U341" s="12" t="n"/>
      <c r="V341" s="12" t="n"/>
      <c r="W341" s="12" t="n"/>
      <c r="X341" s="12" t="n"/>
      <c r="Y341" s="12" t="n"/>
      <c r="Z341" s="12" t="n">
        <v>300</v>
      </c>
      <c r="AA341" s="12" t="n">
        <v>79.90000000000001</v>
      </c>
      <c r="AB341" s="12" t="n"/>
      <c r="AC341" s="12" t="n"/>
      <c r="AD341" s="12" t="n"/>
      <c r="AE341" s="13">
        <f>SUM(C341,E341,G341,I341,K341,M341,O341,Q341,S341,U341,W341,Y341,AA341,AC341)</f>
        <v/>
      </c>
      <c r="AF341" s="13">
        <f>SUM(D341,F341,H341,J341,L341,N341,P341,R341,T341,V341,X341,Z341,AB341,AD341)</f>
        <v/>
      </c>
      <c r="AG341" s="13">
        <f>AE341+AF341</f>
        <v/>
      </c>
    </row>
    <row r="342">
      <c r="A342" s="5" t="n">
        <v>337</v>
      </c>
      <c r="B342" s="27" t="inlineStr">
        <is>
          <t>Mekece</t>
        </is>
      </c>
      <c r="C342" s="7" t="n"/>
      <c r="D342" s="7" t="n"/>
      <c r="E342" s="7" t="n"/>
      <c r="F342" s="7" t="n">
        <v>690</v>
      </c>
      <c r="G342" s="7" t="n"/>
      <c r="H342" s="7" t="n">
        <v>19</v>
      </c>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8">
        <f>SUM(C342,E342,G342,I342,K342,M342,O342,Q342,S342,U342,W342,Y342,AA342,AC342)</f>
        <v/>
      </c>
      <c r="AF342" s="8">
        <f>SUM(D342,F342,H342,J342,L342,N342,P342,R342,T342,V342,X342,Z342,AB342,AD342)</f>
        <v/>
      </c>
      <c r="AG342" s="8">
        <f>AE342+AF342</f>
        <v/>
      </c>
    </row>
    <row r="343">
      <c r="A343" s="10" t="n">
        <v>338</v>
      </c>
      <c r="B343" s="28" t="inlineStr">
        <is>
          <t>Haydarpaşa Liman</t>
        </is>
      </c>
      <c r="C343" s="12" t="n"/>
      <c r="D343" s="12" t="n"/>
      <c r="E343" s="12" t="n">
        <v>100</v>
      </c>
      <c r="F343" s="12" t="n">
        <v>594</v>
      </c>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3">
        <f>SUM(C343,E343,G343,I343,K343,M343,O343,Q343,S343,U343,W343,Y343,AA343,AC343)</f>
        <v/>
      </c>
      <c r="AF343" s="13">
        <f>SUM(D343,F343,H343,J343,L343,N343,P343,R343,T343,V343,X343,Z343,AB343,AD343)</f>
        <v/>
      </c>
      <c r="AG343" s="13">
        <f>AE343+AF343</f>
        <v/>
      </c>
    </row>
    <row r="344">
      <c r="A344" s="5" t="n">
        <v>339</v>
      </c>
      <c r="B344" s="27" t="inlineStr">
        <is>
          <t>Mamure</t>
        </is>
      </c>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v>94.05500000000001</v>
      </c>
      <c r="AB344" s="7" t="n"/>
      <c r="AC344" s="7" t="n">
        <v>151.2</v>
      </c>
      <c r="AD344" s="7" t="n">
        <v>377</v>
      </c>
      <c r="AE344" s="8">
        <f>SUM(C344,E344,G344,I344,K344,M344,O344,Q344,S344,U344,W344,Y344,AA344,AC344)</f>
        <v/>
      </c>
      <c r="AF344" s="8">
        <f>SUM(D344,F344,H344,J344,L344,N344,P344,R344,T344,V344,X344,Z344,AB344,AD344)</f>
        <v/>
      </c>
      <c r="AG344" s="8">
        <f>AE344+AF344</f>
        <v/>
      </c>
    </row>
    <row r="345">
      <c r="A345" s="10" t="n">
        <v>340</v>
      </c>
      <c r="B345" s="28" t="inlineStr">
        <is>
          <t>İlören</t>
        </is>
      </c>
      <c r="C345" s="12" t="n"/>
      <c r="D345" s="12" t="n"/>
      <c r="E345" s="12" t="n"/>
      <c r="F345" s="12" t="n">
        <v>540</v>
      </c>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v>26.245</v>
      </c>
      <c r="AA345" s="12" t="n"/>
      <c r="AB345" s="12" t="n"/>
      <c r="AC345" s="12" t="n"/>
      <c r="AD345" s="12" t="n"/>
      <c r="AE345" s="13">
        <f>SUM(C345,E345,G345,I345,K345,M345,O345,Q345,S345,U345,W345,Y345,AA345,AC345)</f>
        <v/>
      </c>
      <c r="AF345" s="13">
        <f>SUM(D345,F345,H345,J345,L345,N345,P345,R345,T345,V345,X345,Z345,AB345,AD345)</f>
        <v/>
      </c>
      <c r="AG345" s="13">
        <f>AE345+AF345</f>
        <v/>
      </c>
    </row>
    <row r="346">
      <c r="A346" s="5" t="n">
        <v>341</v>
      </c>
      <c r="B346" s="27" t="inlineStr">
        <is>
          <t>Gaziemir</t>
        </is>
      </c>
      <c r="C346" s="7" t="n"/>
      <c r="D346" s="7" t="n">
        <v>40</v>
      </c>
      <c r="E346" s="7" t="n"/>
      <c r="F346" s="7" t="n"/>
      <c r="G346" s="7" t="n"/>
      <c r="H346" s="7" t="n">
        <v>364.8</v>
      </c>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c r="AC346" s="7" t="n"/>
      <c r="AD346" s="7" t="n"/>
      <c r="AE346" s="8">
        <f>SUM(C346,E346,G346,I346,K346,M346,O346,Q346,S346,U346,W346,Y346,AA346,AC346)</f>
        <v/>
      </c>
      <c r="AF346" s="8">
        <f>SUM(D346,F346,H346,J346,L346,N346,P346,R346,T346,V346,X346,Z346,AB346,AD346)</f>
        <v/>
      </c>
      <c r="AG346" s="8">
        <f>AE346+AF346</f>
        <v/>
      </c>
    </row>
    <row r="347">
      <c r="A347" s="10" t="n">
        <v>342</v>
      </c>
      <c r="B347" s="28" t="inlineStr">
        <is>
          <t>Kırklareli</t>
        </is>
      </c>
      <c r="C347" s="12" t="n"/>
      <c r="D347" s="12" t="n">
        <v>71.855</v>
      </c>
      <c r="E347" s="12" t="n"/>
      <c r="F347" s="12" t="n">
        <v>10</v>
      </c>
      <c r="G347" s="12" t="n"/>
      <c r="H347" s="12" t="n">
        <v>49</v>
      </c>
      <c r="I347" s="12" t="n"/>
      <c r="J347" s="12" t="n">
        <v>47</v>
      </c>
      <c r="K347" s="12" t="n"/>
      <c r="L347" s="12" t="n"/>
      <c r="M347" s="12" t="n"/>
      <c r="N347" s="12" t="n">
        <v>21</v>
      </c>
      <c r="O347" s="12" t="n"/>
      <c r="P347" s="12" t="n">
        <v>68.045</v>
      </c>
      <c r="Q347" s="12" t="n"/>
      <c r="R347" s="12" t="n"/>
      <c r="S347" s="12" t="n"/>
      <c r="T347" s="12" t="n">
        <v>75</v>
      </c>
      <c r="U347" s="12" t="n"/>
      <c r="V347" s="12" t="n">
        <v>27.72</v>
      </c>
      <c r="W347" s="12" t="n"/>
      <c r="X347" s="12" t="n">
        <v>31.25</v>
      </c>
      <c r="Y347" s="12" t="n"/>
      <c r="Z347" s="12" t="n"/>
      <c r="AA347" s="12" t="n"/>
      <c r="AB347" s="12" t="n"/>
      <c r="AC347" s="12" t="n"/>
      <c r="AD347" s="12" t="n"/>
      <c r="AE347" s="13">
        <f>SUM(C347,E347,G347,I347,K347,M347,O347,Q347,S347,U347,W347,Y347,AA347,AC347)</f>
        <v/>
      </c>
      <c r="AF347" s="13">
        <f>SUM(D347,F347,H347,J347,L347,N347,P347,R347,T347,V347,X347,Z347,AB347,AD347)</f>
        <v/>
      </c>
      <c r="AG347" s="13">
        <f>AE347+AF347</f>
        <v/>
      </c>
    </row>
    <row r="348">
      <c r="A348" s="5" t="n">
        <v>343</v>
      </c>
      <c r="B348" s="27" t="inlineStr">
        <is>
          <t>Boğazköy</t>
        </is>
      </c>
      <c r="C348" s="7" t="n"/>
      <c r="D348" s="7" t="n">
        <v>60</v>
      </c>
      <c r="E348" s="7" t="n"/>
      <c r="F348" s="7" t="n">
        <v>280</v>
      </c>
      <c r="G348" s="7" t="n"/>
      <c r="H348" s="7" t="n">
        <v>6</v>
      </c>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c r="AC348" s="7" t="n"/>
      <c r="AD348" s="7" t="n"/>
      <c r="AE348" s="8">
        <f>SUM(C348,E348,G348,I348,K348,M348,O348,Q348,S348,U348,W348,Y348,AA348,AC348)</f>
        <v/>
      </c>
      <c r="AF348" s="8">
        <f>SUM(D348,F348,H348,J348,L348,N348,P348,R348,T348,V348,X348,Z348,AB348,AD348)</f>
        <v/>
      </c>
      <c r="AG348" s="8">
        <f>AE348+AF348</f>
        <v/>
      </c>
    </row>
    <row r="349">
      <c r="A349" s="10" t="n">
        <v>344</v>
      </c>
      <c r="B349" s="28" t="inlineStr">
        <is>
          <t>Balıkısık</t>
        </is>
      </c>
      <c r="C349" s="12" t="n"/>
      <c r="D349" s="12" t="n"/>
      <c r="E349" s="12" t="n"/>
      <c r="F349" s="12" t="n"/>
      <c r="G349" s="12" t="n"/>
      <c r="H349" s="12" t="n"/>
      <c r="I349" s="12" t="n"/>
      <c r="J349" s="12" t="n"/>
      <c r="K349" s="12" t="n"/>
      <c r="L349" s="12" t="n"/>
      <c r="M349" s="12" t="n"/>
      <c r="N349" s="12" t="n"/>
      <c r="O349" s="12" t="n"/>
      <c r="P349" s="12" t="n"/>
      <c r="Q349" s="12" t="n"/>
      <c r="R349" s="12" t="n">
        <v>170</v>
      </c>
      <c r="S349" s="12" t="n"/>
      <c r="T349" s="12" t="n"/>
      <c r="U349" s="12" t="n"/>
      <c r="V349" s="12" t="n"/>
      <c r="W349" s="12" t="n"/>
      <c r="X349" s="12" t="n"/>
      <c r="Y349" s="12" t="n"/>
      <c r="Z349" s="12" t="n"/>
      <c r="AA349" s="12" t="n"/>
      <c r="AB349" s="12" t="n"/>
      <c r="AC349" s="12" t="n"/>
      <c r="AD349" s="12" t="n"/>
      <c r="AE349" s="13">
        <f>SUM(C349,E349,G349,I349,K349,M349,O349,Q349,S349,U349,W349,Y349,AA349,AC349)</f>
        <v/>
      </c>
      <c r="AF349" s="13">
        <f>SUM(D349,F349,H349,J349,L349,N349,P349,R349,T349,V349,X349,Z349,AB349,AD349)</f>
        <v/>
      </c>
      <c r="AG349" s="13">
        <f>AE349+AF349</f>
        <v/>
      </c>
    </row>
    <row r="350">
      <c r="A350" s="5" t="n">
        <v>345</v>
      </c>
      <c r="B350" s="27" t="inlineStr">
        <is>
          <t>Ankara Lojistik Müd (Marşandiz</t>
        </is>
      </c>
      <c r="C350" s="7" t="n"/>
      <c r="D350" s="7" t="n"/>
      <c r="E350" s="7" t="n"/>
      <c r="F350" s="7" t="n"/>
      <c r="G350" s="7" t="n"/>
      <c r="H350" s="7" t="n"/>
      <c r="I350" s="7" t="n"/>
      <c r="J350" s="7" t="n"/>
      <c r="K350" s="7" t="n"/>
      <c r="L350" s="7" t="n"/>
      <c r="M350" s="7" t="n"/>
      <c r="N350" s="7" t="n"/>
      <c r="O350" s="7" t="n"/>
      <c r="P350" s="7" t="n">
        <v>106</v>
      </c>
      <c r="Q350" s="7" t="n"/>
      <c r="R350" s="7" t="n"/>
      <c r="S350" s="7" t="n"/>
      <c r="T350" s="7" t="n">
        <v>10</v>
      </c>
      <c r="U350" s="7" t="n"/>
      <c r="V350" s="7" t="n">
        <v>10</v>
      </c>
      <c r="W350" s="7" t="n"/>
      <c r="X350" s="7" t="n"/>
      <c r="Y350" s="7" t="n"/>
      <c r="Z350" s="7" t="n"/>
      <c r="AA350" s="7" t="n"/>
      <c r="AB350" s="7" t="n"/>
      <c r="AC350" s="7" t="n"/>
      <c r="AD350" s="7" t="n"/>
      <c r="AE350" s="8">
        <f>SUM(C350,E350,G350,I350,K350,M350,O350,Q350,S350,U350,W350,Y350,AA350,AC350)</f>
        <v/>
      </c>
      <c r="AF350" s="8">
        <f>SUM(D350,F350,H350,J350,L350,N350,P350,R350,T350,V350,X350,Z350,AB350,AD350)</f>
        <v/>
      </c>
      <c r="AG350" s="8">
        <f>AE350+AF350</f>
        <v/>
      </c>
    </row>
    <row r="351">
      <c r="A351" s="10" t="n">
        <v>346</v>
      </c>
      <c r="B351" s="28" t="inlineStr">
        <is>
          <t>Selçuk</t>
        </is>
      </c>
      <c r="C351" s="12" t="n"/>
      <c r="D351" s="12" t="n">
        <v>126</v>
      </c>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3">
        <f>SUM(C351,E351,G351,I351,K351,M351,O351,Q351,S351,U351,W351,Y351,AA351,AC351)</f>
        <v/>
      </c>
      <c r="AF351" s="13">
        <f>SUM(D351,F351,H351,J351,L351,N351,P351,R351,T351,V351,X351,Z351,AB351,AD351)</f>
        <v/>
      </c>
      <c r="AG351" s="13">
        <f>AE351+AF351</f>
        <v/>
      </c>
    </row>
    <row r="352">
      <c r="A352" s="5" t="n">
        <v>347</v>
      </c>
      <c r="B352" s="27" t="inlineStr">
        <is>
          <t>Eryatağı</t>
        </is>
      </c>
      <c r="C352" s="7" t="n"/>
      <c r="D352" s="7" t="n">
        <v>33.6</v>
      </c>
      <c r="E352" s="7" t="n"/>
      <c r="F352" s="7" t="n">
        <v>61.267</v>
      </c>
      <c r="G352" s="7" t="n"/>
      <c r="H352" s="7" t="n">
        <v>11</v>
      </c>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c r="AC352" s="7" t="n"/>
      <c r="AD352" s="7" t="n"/>
      <c r="AE352" s="8">
        <f>SUM(C352,E352,G352,I352,K352,M352,O352,Q352,S352,U352,W352,Y352,AA352,AC352)</f>
        <v/>
      </c>
      <c r="AF352" s="8">
        <f>SUM(D352,F352,H352,J352,L352,N352,P352,R352,T352,V352,X352,Z352,AB352,AD352)</f>
        <v/>
      </c>
      <c r="AG352" s="8">
        <f>AE352+AF352</f>
        <v/>
      </c>
    </row>
    <row r="353">
      <c r="A353" s="10" t="n">
        <v>348</v>
      </c>
      <c r="B353" s="28" t="inlineStr">
        <is>
          <t>Benliahmet (Kaldırıldı)</t>
        </is>
      </c>
      <c r="C353" s="12" t="n"/>
      <c r="D353" s="12" t="n"/>
      <c r="E353" s="12" t="n"/>
      <c r="F353" s="12" t="n">
        <v>100</v>
      </c>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3">
        <f>SUM(C353,E353,G353,I353,K353,M353,O353,Q353,S353,U353,W353,Y353,AA353,AC353)</f>
        <v/>
      </c>
      <c r="AF353" s="13">
        <f>SUM(D353,F353,H353,J353,L353,N353,P353,R353,T353,V353,X353,Z353,AB353,AD353)</f>
        <v/>
      </c>
      <c r="AG353" s="13">
        <f>AE353+AF353</f>
        <v/>
      </c>
    </row>
    <row r="354">
      <c r="A354" s="5" t="n">
        <v>349</v>
      </c>
      <c r="B354" s="27" t="inlineStr">
        <is>
          <t>Babaeski</t>
        </is>
      </c>
      <c r="C354" s="7" t="n"/>
      <c r="D354" s="7" t="n"/>
      <c r="E354" s="7" t="n"/>
      <c r="F354" s="7" t="n">
        <v>9.4</v>
      </c>
      <c r="G354" s="7" t="n"/>
      <c r="H354" s="7" t="n">
        <v>54.14</v>
      </c>
      <c r="I354" s="7" t="n"/>
      <c r="J354" s="7" t="n"/>
      <c r="K354" s="7" t="n"/>
      <c r="L354" s="7" t="n"/>
      <c r="M354" s="7" t="n"/>
      <c r="N354" s="7" t="n"/>
      <c r="O354" s="7" t="n"/>
      <c r="P354" s="7" t="n"/>
      <c r="Q354" s="7" t="n"/>
      <c r="R354" s="7" t="n"/>
      <c r="S354" s="7" t="n"/>
      <c r="T354" s="7" t="n">
        <v>5</v>
      </c>
      <c r="U354" s="7" t="n"/>
      <c r="V354" s="7" t="n"/>
      <c r="W354" s="7" t="n"/>
      <c r="X354" s="7" t="n">
        <v>4</v>
      </c>
      <c r="Y354" s="7" t="n"/>
      <c r="Z354" s="7" t="n"/>
      <c r="AA354" s="7" t="n"/>
      <c r="AB354" s="7" t="n"/>
      <c r="AC354" s="7" t="n"/>
      <c r="AD354" s="7" t="n"/>
      <c r="AE354" s="8">
        <f>SUM(C354,E354,G354,I354,K354,M354,O354,Q354,S354,U354,W354,Y354,AA354,AC354)</f>
        <v/>
      </c>
      <c r="AF354" s="8">
        <f>SUM(D354,F354,H354,J354,L354,N354,P354,R354,T354,V354,X354,Z354,AB354,AD354)</f>
        <v/>
      </c>
      <c r="AG354" s="8">
        <f>AE354+AF354</f>
        <v/>
      </c>
    </row>
    <row r="355">
      <c r="A355" s="10" t="n">
        <v>350</v>
      </c>
      <c r="B355" s="28" t="inlineStr">
        <is>
          <t>Bayırköy</t>
        </is>
      </c>
      <c r="C355" s="12" t="n"/>
      <c r="D355" s="12" t="n">
        <v>40</v>
      </c>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3">
        <f>SUM(C355,E355,G355,I355,K355,M355,O355,Q355,S355,U355,W355,Y355,AA355,AC355)</f>
        <v/>
      </c>
      <c r="AF355" s="13">
        <f>SUM(D355,F355,H355,J355,L355,N355,P355,R355,T355,V355,X355,Z355,AB355,AD355)</f>
        <v/>
      </c>
      <c r="AG355" s="13">
        <f>AE355+AF355</f>
        <v/>
      </c>
    </row>
    <row r="356">
      <c r="A356" s="5" t="n">
        <v>351</v>
      </c>
      <c r="B356" s="27" t="inlineStr">
        <is>
          <t>Akdoğan</t>
        </is>
      </c>
      <c r="C356" s="7" t="n"/>
      <c r="D356" s="7" t="n">
        <v>30</v>
      </c>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c r="AC356" s="7" t="n"/>
      <c r="AD356" s="7" t="n"/>
      <c r="AE356" s="8">
        <f>SUM(C356,E356,G356,I356,K356,M356,O356,Q356,S356,U356,W356,Y356,AA356,AC356)</f>
        <v/>
      </c>
      <c r="AF356" s="8">
        <f>SUM(D356,F356,H356,J356,L356,N356,P356,R356,T356,V356,X356,Z356,AB356,AD356)</f>
        <v/>
      </c>
      <c r="AG356" s="8">
        <f>AE356+AF356</f>
        <v/>
      </c>
    </row>
    <row r="357">
      <c r="A357" s="15" t="n"/>
      <c r="B357" s="16" t="inlineStr">
        <is>
          <t>GENEL TOPLAM</t>
        </is>
      </c>
      <c r="C357" s="17">
        <f>SUM(C6:C356)</f>
        <v/>
      </c>
      <c r="D357" s="17">
        <f>SUM(D6:D356)</f>
        <v/>
      </c>
      <c r="E357" s="17">
        <f>SUM(E6:E356)</f>
        <v/>
      </c>
      <c r="F357" s="17">
        <f>SUM(F6:F356)</f>
        <v/>
      </c>
      <c r="G357" s="17">
        <f>SUM(G6:G356)</f>
        <v/>
      </c>
      <c r="H357" s="17">
        <f>SUM(H6:H356)</f>
        <v/>
      </c>
      <c r="I357" s="17">
        <f>SUM(I6:I356)</f>
        <v/>
      </c>
      <c r="J357" s="17">
        <f>SUM(J6:J356)</f>
        <v/>
      </c>
      <c r="K357" s="17">
        <f>SUM(K6:K356)</f>
        <v/>
      </c>
      <c r="L357" s="17">
        <f>SUM(L6:L356)</f>
        <v/>
      </c>
      <c r="M357" s="17">
        <f>SUM(M6:M356)</f>
        <v/>
      </c>
      <c r="N357" s="17">
        <f>SUM(N6:N356)</f>
        <v/>
      </c>
      <c r="O357" s="17">
        <f>SUM(O6:O356)</f>
        <v/>
      </c>
      <c r="P357" s="17">
        <f>SUM(P6:P356)</f>
        <v/>
      </c>
      <c r="Q357" s="17">
        <f>SUM(Q6:Q356)</f>
        <v/>
      </c>
      <c r="R357" s="17">
        <f>SUM(R6:R356)</f>
        <v/>
      </c>
      <c r="S357" s="17">
        <f>SUM(S6:S356)</f>
        <v/>
      </c>
      <c r="T357" s="17">
        <f>SUM(T6:T356)</f>
        <v/>
      </c>
      <c r="U357" s="17">
        <f>SUM(U6:U356)</f>
        <v/>
      </c>
      <c r="V357" s="17">
        <f>SUM(V6:V356)</f>
        <v/>
      </c>
      <c r="W357" s="17">
        <f>SUM(W6:W356)</f>
        <v/>
      </c>
      <c r="X357" s="17">
        <f>SUM(X6:X356)</f>
        <v/>
      </c>
      <c r="Y357" s="17">
        <f>SUM(Y6:Y356)</f>
        <v/>
      </c>
      <c r="Z357" s="17">
        <f>SUM(Z6:Z356)</f>
        <v/>
      </c>
      <c r="AA357" s="17">
        <f>SUM(AA6:AA356)</f>
        <v/>
      </c>
      <c r="AB357" s="17">
        <f>SUM(AB6:AB356)</f>
        <v/>
      </c>
      <c r="AC357" s="17">
        <f>SUM(AC6:AC356)</f>
        <v/>
      </c>
      <c r="AD357" s="17">
        <f>SUM(AD6:AD356)</f>
        <v/>
      </c>
      <c r="AE357" s="17">
        <f>SUM(AE6:AE356)</f>
        <v/>
      </c>
      <c r="AF357" s="17">
        <f>SUM(AF6:AF356)</f>
        <v/>
      </c>
      <c r="AG357" s="17">
        <f>SUM(AG6:AG356)</f>
        <v/>
      </c>
    </row>
  </sheetData>
  <autoFilter ref="A5:AG356"/>
  <mergeCells count="17">
    <mergeCell ref="G4:H4"/>
    <mergeCell ref="E4:F4"/>
    <mergeCell ref="W4:X4"/>
    <mergeCell ref="I4:J4"/>
    <mergeCell ref="Y4:Z4"/>
    <mergeCell ref="B4:B5"/>
    <mergeCell ref="AC4:AD4"/>
    <mergeCell ref="A4:A5"/>
    <mergeCell ref="U4:V4"/>
    <mergeCell ref="AA4:AB4"/>
    <mergeCell ref="AE4:AG4"/>
    <mergeCell ref="K4:L4"/>
    <mergeCell ref="O4:P4"/>
    <mergeCell ref="M4:N4"/>
    <mergeCell ref="S4:T4"/>
    <mergeCell ref="Q4:R4"/>
    <mergeCell ref="C4:D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2" customWidth="1" min="1" max="1"/>
    <col width="105" customWidth="1" min="2" max="2"/>
  </cols>
  <sheetData>
    <row r="1">
      <c r="A1" s="29" t="inlineStr">
        <is>
          <t>YÖNTEM VE NOTLAR</t>
        </is>
      </c>
    </row>
    <row r="3" ht="26" customHeight="1">
      <c r="A3" s="30" t="inlineStr">
        <is>
          <t>Amaç</t>
        </is>
      </c>
      <c r="B3" s="31" t="inlineStr">
        <is>
          <t>İki ayrı SAP ZANALYSIS_PATTERN çıktısındaki istasyon bazlı yük taşıma verilerini birleştirip, gelen + giden yük toplamı en yüksek 20 istasyonu sıralamak.</t>
        </is>
      </c>
    </row>
    <row r="4" ht="15" customHeight="1">
      <c r="A4" s="30" t="inlineStr">
        <is>
          <t>Kaynak dosya 1</t>
        </is>
      </c>
      <c r="B4" s="31" t="inlineStr">
        <is>
          <t>30aa1bf0-ZANALYSIS_PATTERN_NEW_3.xls — "İstasyon Bazlı Yük Taşımaları", 2013-2016, 307 istasyon.</t>
        </is>
      </c>
    </row>
    <row r="5" ht="26" customHeight="1">
      <c r="A5" s="30" t="inlineStr">
        <is>
          <t>Kaynak dosya 2</t>
        </is>
      </c>
      <c r="B5" s="31" t="inlineStr">
        <is>
          <t>fef7ddf6-ZANALYSIS_PATTERN__20260807T105517.750.xls — "İstasyona Göre Yük Taşımaları", 2017-2026, 334 istasyon.</t>
        </is>
      </c>
    </row>
    <row r="6" ht="39" customHeight="1">
      <c r="A6" s="30" t="inlineStr">
        <is>
          <t>Birleştirme</t>
        </is>
      </c>
      <c r="B6" s="31" t="inlineStr">
        <is>
          <t>İki dosyanın yıl aralıkları çakışmadığı için (2013-2016 ve 2017-2026) mükerrer sayım riski yoktur. Veriler istasyon adı üzerinden eşleştirilerek yan yana birleştirilmiştir. Birleşik liste: 351 istasyon, 2013-2026.</t>
        </is>
      </c>
    </row>
    <row r="7" ht="15" customHeight="1">
      <c r="A7" s="30" t="inlineStr">
        <is>
          <t>Ölçü birimi</t>
        </is>
      </c>
      <c r="B7" s="31" t="inlineStr">
        <is>
          <t>Netton (TON). Kaynak dosyalardaki "Giden" ve "Gelen" sütunları kullanılmıştır.</t>
        </is>
      </c>
    </row>
    <row r="8" ht="39" customHeight="1">
      <c r="A8" s="30" t="inlineStr">
        <is>
          <t>Sıralama ölçütü</t>
        </is>
      </c>
      <c r="B8" s="31" t="inlineStr">
        <is>
          <t>TOPLAM = Giden + Gelen. Bu, istasyonun toplam yük trafiğidir. Bir sevkiyat çıkış istasyonunda "Giden", varış istasyonunda "Gelen" olarak sayıldığından, tüm istasyon toplamları ülke genelinde taşınan net tonajın yaklaşık iki katına denk gelir.</t>
        </is>
      </c>
    </row>
    <row r="9" ht="39" customHeight="1">
      <c r="A9" s="30" t="inlineStr">
        <is>
          <t>İsim eşleştirme</t>
        </is>
      </c>
      <c r="B9" s="31" t="inlineStr">
        <is>
          <t>İstasyon adları Türkçe büyük/küçük harf kuralları (I/İ/ı/i) ve aksan farkları normalize edilerek eşleştirilmiştir. Tespit edilen tek yazım farkı: "Islahiye" (2017-2026 dosyası) ile "İslahiye" (2013-2016 dosyası) aynı istasyon kabul edilip birleştirilmiştir.</t>
        </is>
      </c>
    </row>
    <row r="10" ht="26" customHeight="1">
      <c r="A10" s="30" t="inlineStr">
        <is>
          <t>Mükerrer satır</t>
        </is>
      </c>
      <c r="B10" s="31" t="inlineStr">
        <is>
          <t>2013-2016 dosyasında "Azot" adıyla iki ayrı satır bulunmaktadır (442.056,46 ve 599,11 Netton). Aynı istasyon adı altında toplanmıştır.</t>
        </is>
      </c>
    </row>
    <row r="11" ht="26" customHeight="1">
      <c r="A11" s="30" t="inlineStr">
        <is>
          <t>Ayrı tutulan adlar</t>
        </is>
      </c>
      <c r="B11" s="31" t="inlineStr">
        <is>
          <t>"Mersin" / "Mersin Liman" ve "Haydarpaşa" / "Haydarpaşa Liman" kaynak dosyalarda ayrı kayıtlar olduğu için ayrı istasyon olarak bırakılmıştır.</t>
        </is>
      </c>
    </row>
    <row r="12" ht="26" customHeight="1">
      <c r="A12" s="30" t="inlineStr">
        <is>
          <t>2026 verisi</t>
        </is>
      </c>
      <c r="B12" s="31" t="inlineStr">
        <is>
          <t>2026 yılı kısmi veridir (dosya 07.08.2026 tarihinde alınmıştır), tam yıl ile karşılaştırılırken dikkate alınmalıdır.</t>
        </is>
      </c>
    </row>
    <row r="13" ht="65" customHeight="1">
      <c r="A13" s="30" t="inlineStr">
        <is>
          <t>Doğrulama</t>
        </is>
      </c>
      <c r="B13" s="31" t="inlineStr">
        <is>
          <t>Ayrıştırma, kaynak dosyaların kendi ara toplamlarıyla karşılaştırılarak doğrulanmıştır: her satırda "Sonuç = Giden + Gelen" ve "Toplam sonuç = yıllık Sonuç toplamı" kontrolleri 0 hata vermiştir. 2013-2016 dosyasının kendi "Toplam sonuç" satırı 207.025.948,53 Netton olup hesaplanan değerle birebir örtüşmektedir. (2017-2026 dosyasında genel toplam satırı bulunmadığından satır ve sütun bazlı iç tutarlılık kontrolü uygulanmıştır.)</t>
        </is>
      </c>
    </row>
    <row r="14" ht="39" customHeight="1">
      <c r="A14" s="30" t="inlineStr">
        <is>
          <t>Sayfalar</t>
        </is>
      </c>
      <c r="B14" s="31" t="inlineStr">
        <is>
          <t>"İlk 20 İstasyon": sıralı özet ve grafik. "İlk 20 - Yıl Bazında": ilk 20 istasyonun 2013-2026 yıllık dökümü. "Tüm İstasyonlar (Birleşik)": birleştirilmiş ham veri; diğer sayfalardaki tüm değerler bu sayfaya formülle bağlıdır.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2026-08-07T09:01:30Z</dcterms:created>
  <dcterms:modified xsi:type="dcterms:W3CDTF">2026-08-07T09:01:31Z</dcterms:modified>
</cp:coreProperties>
</file>